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queryTables/queryTable1.xml" ContentType="application/vnd.openxmlformats-officedocument.spreadsheetml.queryTable+xml"/>
  <Override PartName="/xl/drawings/drawing14.xml" ContentType="application/vnd.openxmlformats-officedocument.drawing+xml"/>
  <Override PartName="/xl/comments4.xml" ContentType="application/vnd.openxmlformats-officedocument.spreadsheetml.comments+xml"/>
  <Override PartName="/xl/threadedComments/threadedComment2.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5.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6.xml" ContentType="application/vnd.openxmlformats-officedocument.spreadsheetml.comments+xml"/>
  <Override PartName="/xl/threadedComments/threadedComment3.xml" ContentType="application/vnd.ms-excel.threadedcomment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omments7.xml" ContentType="application/vnd.openxmlformats-officedocument.spreadsheetml.comments+xml"/>
  <Override PartName="/xl/threadedComments/threadedComment4.xml" ContentType="application/vnd.ms-excel.threadedcomments+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omments8.xml" ContentType="application/vnd.openxmlformats-officedocument.spreadsheetml.comments+xml"/>
  <Override PartName="/xl/threadedComments/threadedComment5.xml" ContentType="application/vnd.ms-excel.threadedcomments+xml"/>
  <Override PartName="/xl/drawings/drawing36.xml" ContentType="application/vnd.openxmlformats-officedocument.drawing+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5" codeName="{00000000-0000-0000-0000-000000000000}"/>
  <workbookPr updateLinks="always" codeName="ThisWorkbook"/>
  <mc:AlternateContent xmlns:mc="http://schemas.openxmlformats.org/markup-compatibility/2006">
    <mc:Choice Requires="x15">
      <x15ac:absPath xmlns:x15ac="http://schemas.microsoft.com/office/spreadsheetml/2010/11/ac" url="https://labguides.sharepoint.com/sites/labguide/Shared Documents/Arion Networks/3. Operations/ISO Certifications and Policies/ISO 2700xxx/27001 ISMS/Governance &amp; Scope/ISO 27001 Workbook/"/>
    </mc:Choice>
  </mc:AlternateContent>
  <xr:revisionPtr revIDLastSave="10428" documentId="8_{C0973F54-F571-3145-8C5B-EBE32A667B10}" xr6:coauthVersionLast="47" xr6:coauthVersionMax="47" xr10:uidLastSave="{530D5C72-D643-4D47-8F78-88FCAA0116EB}"/>
  <bookViews>
    <workbookView xWindow="-40" yWindow="1160" windowWidth="35740" windowHeight="20520" firstSheet="23" activeTab="23" xr2:uid="{00000000-000D-0000-FFFF-FFFF00000000}"/>
  </bookViews>
  <sheets>
    <sheet name="TOC" sheetId="29" r:id="rId1"/>
    <sheet name="Documentation" sheetId="28" r:id="rId2"/>
    <sheet name="Mapping" sheetId="35" r:id="rId3"/>
    <sheet name="This Doc Chng Control" sheetId="30" r:id="rId4"/>
    <sheet name="ISMS Schedule" sheetId="41" r:id="rId5"/>
    <sheet name="ISMS Objectives" sheetId="31" r:id="rId6"/>
    <sheet name="Asset Register" sheetId="1" r:id="rId7"/>
    <sheet name="Interested Parties" sheetId="40" r:id="rId8"/>
    <sheet name="Instructions and Definitions" sheetId="9" r:id="rId9"/>
    <sheet name="Statement of Applicability" sheetId="33" r:id="rId10"/>
    <sheet name="Risk Register" sheetId="2" r:id="rId11"/>
    <sheet name="Risk Treatment Plan" sheetId="3" r:id="rId12"/>
    <sheet name="ISMS Action Tracker" sheetId="4" r:id="rId13"/>
    <sheet name="BIA Bus. Impact Ass." sheetId="20" r:id="rId14"/>
    <sheet name="Incident Log" sheetId="5" r:id="rId15"/>
    <sheet name="Audit Log" sheetId="6" r:id="rId16"/>
    <sheet name="External Audit Log" sheetId="42" r:id="rId17"/>
    <sheet name="Training &amp; Awarnesse Record" sheetId="7" r:id="rId18"/>
    <sheet name="Spec Int Engagement log" sheetId="37" r:id="rId19"/>
    <sheet name="Management Review Log" sheetId="8" r:id="rId20"/>
    <sheet name="Change Mgmt Log" sheetId="21" r:id="rId21"/>
    <sheet name="Document Cont. Reg." sheetId="22" r:id="rId22"/>
    <sheet name="Monitoring Log" sheetId="32" r:id="rId23"/>
    <sheet name="User BYOD Compl. Log" sheetId="24" r:id="rId24"/>
    <sheet name="Risk Comms Matrix" sheetId="25" r:id="rId25"/>
    <sheet name="NonConf Act. Tracker" sheetId="26" r:id="rId26"/>
    <sheet name="PenTest Sec Ass Log" sheetId="27" r:id="rId27"/>
    <sheet name="ThirdParty Vendor Risk " sheetId="15" r:id="rId28"/>
    <sheet name="Business Partners Assessment" sheetId="45" r:id="rId29"/>
    <sheet name="Business Cont DR Plan" sheetId="11" r:id="rId30"/>
    <sheet name="Quarterly Security Review" sheetId="12" r:id="rId31"/>
    <sheet name="Competence Records" sheetId="18" r:id="rId32"/>
    <sheet name="Access Rev. Log Non-PII Systems" sheetId="14" r:id="rId33"/>
    <sheet name="Access Register PII Systems" sheetId="43" r:id="rId34"/>
    <sheet name="Info Sec KPI Metrics Tracker" sheetId="17" r:id="rId35"/>
    <sheet name="Internal&amp;External Parties" sheetId="38" r:id="rId36"/>
    <sheet name="Legal &amp; Regul. Compl. Register" sheetId="36" r:id="rId37"/>
    <sheet name="Formulas" sheetId="10" r:id="rId38"/>
  </sheets>
  <definedNames>
    <definedName name="_xlnm._FilterDatabase" localSheetId="9" hidden="1">'Statement of Applicability'!$A$13:$L$13</definedName>
    <definedName name="_xlnm._FilterDatabase" localSheetId="36" hidden="1">'Legal &amp; Regul. Compl. Register'!$A$1:$I$1</definedName>
    <definedName name="_xlnm._FilterDatabase" localSheetId="23" hidden="1">'User BYOD Compl. Log'!$B$1:$I$1</definedName>
    <definedName name="_xlnm._FilterDatabase" localSheetId="4" hidden="1">'ISMS Schedule'!$A$1:$I$36</definedName>
    <definedName name="_xlnm._FilterDatabase" localSheetId="33" hidden="1">'Access Register PII Systems'!$A$1:$O$1</definedName>
    <definedName name="_xleta.T" hidden="1" xlm="1">#NAME?</definedName>
    <definedName name="Asset_ID_Asset_Name_Asset_Owner_Asset_Type_Asset_L" localSheetId="13">'BIA Bus. Impact Ass.'!$A$1:$R$12</definedName>
    <definedName name="Threat_List_Helper">'Risk Register'!$L$2:$L$49</definedName>
    <definedName name="ThreatsList">OFFSET('Instructions and Definitions'!$J$3, 0, 0, 10, 1)</definedName>
    <definedName name="Vulnerabilities_List_Helper">'Risk Register'!$M$2:$M$63</definedName>
    <definedName name="VulnerabilitiesList">OFFSET('Instructions and Definitions'!$K$3, 0, 0,          COUNTA('Instructions and Definitions'!$K$3:$K$178),          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3" l="1"/>
  <c r="K8" i="3"/>
  <c r="K36" i="3"/>
  <c r="D36" i="3"/>
  <c r="I34" i="2"/>
  <c r="I35" i="2"/>
  <c r="I36" i="2"/>
  <c r="A36" i="3"/>
  <c r="B36" i="3"/>
  <c r="C36" i="3"/>
  <c r="C36" i="2"/>
  <c r="K35" i="3"/>
  <c r="K34" i="3"/>
  <c r="D34" i="3"/>
  <c r="D35" i="3"/>
  <c r="D33" i="3"/>
  <c r="A34" i="3"/>
  <c r="F34" i="3" s="1"/>
  <c r="A35" i="3"/>
  <c r="F35" i="3" s="1"/>
  <c r="D32" i="3"/>
  <c r="A33" i="3"/>
  <c r="B33" i="3"/>
  <c r="I33" i="2"/>
  <c r="C2" i="25" a="1"/>
  <c r="C2" i="25" s="1"/>
  <c r="B2" i="25" a="1"/>
  <c r="B2" i="25" s="1"/>
  <c r="A2" i="25" a="1"/>
  <c r="A2" i="25" s="1"/>
  <c r="C2" i="26"/>
  <c r="F3" i="26"/>
  <c r="F4" i="26"/>
  <c r="F2" i="26"/>
  <c r="E3" i="26"/>
  <c r="E4" i="26"/>
  <c r="E2" i="26"/>
  <c r="C3" i="26"/>
  <c r="C4" i="26"/>
  <c r="B3" i="26"/>
  <c r="B4" i="26"/>
  <c r="B2" i="26"/>
  <c r="A3" i="26"/>
  <c r="A4" i="26"/>
  <c r="A2" i="26"/>
  <c r="B3" i="8"/>
  <c r="B2" i="8"/>
  <c r="J33" i="3"/>
  <c r="J32" i="3"/>
  <c r="I32" i="3" s="1"/>
  <c r="I33" i="3"/>
  <c r="J31" i="3"/>
  <c r="I31" i="3" s="1"/>
  <c r="D31" i="3"/>
  <c r="A31" i="3"/>
  <c r="F31" i="3" s="1"/>
  <c r="A32" i="3"/>
  <c r="E32" i="3" s="1"/>
  <c r="I31" i="2"/>
  <c r="I32" i="2"/>
  <c r="C17" i="4"/>
  <c r="C30" i="4"/>
  <c r="J30" i="3"/>
  <c r="I30" i="3" s="1"/>
  <c r="D30" i="3"/>
  <c r="E30" i="4" s="1"/>
  <c r="I30" i="2"/>
  <c r="A30" i="3"/>
  <c r="C30" i="2"/>
  <c r="C29" i="4"/>
  <c r="C14" i="4"/>
  <c r="C15" i="4"/>
  <c r="C16" i="4"/>
  <c r="C18" i="4"/>
  <c r="C19" i="4"/>
  <c r="C20" i="4"/>
  <c r="C21" i="4"/>
  <c r="C22" i="4"/>
  <c r="C23" i="4"/>
  <c r="C24" i="4"/>
  <c r="C25" i="4"/>
  <c r="C26" i="4"/>
  <c r="C27" i="4"/>
  <c r="C28" i="4"/>
  <c r="J14" i="3"/>
  <c r="I14" i="3" s="1"/>
  <c r="D14" i="3"/>
  <c r="E14" i="4" s="1"/>
  <c r="A14" i="3"/>
  <c r="A14" i="4" s="1"/>
  <c r="C3" i="4"/>
  <c r="C4" i="4"/>
  <c r="C5" i="4"/>
  <c r="C6" i="4"/>
  <c r="C7" i="4"/>
  <c r="C8" i="4"/>
  <c r="C9" i="4"/>
  <c r="C10" i="4"/>
  <c r="C11" i="4"/>
  <c r="C12" i="4"/>
  <c r="C13" i="4"/>
  <c r="C2" i="4"/>
  <c r="C12" i="2"/>
  <c r="E12" i="37"/>
  <c r="F36" i="3" l="1"/>
  <c r="E36" i="3"/>
  <c r="C35" i="3"/>
  <c r="E35" i="3"/>
  <c r="C34" i="3"/>
  <c r="E34" i="3"/>
  <c r="C33" i="3"/>
  <c r="C32" i="3"/>
  <c r="E31" i="3"/>
  <c r="C31" i="3"/>
  <c r="F33" i="3"/>
  <c r="F32" i="3"/>
  <c r="E33" i="3"/>
  <c r="C30" i="3"/>
  <c r="E30" i="3"/>
  <c r="F30" i="3"/>
  <c r="E14" i="3"/>
  <c r="B14" i="3"/>
  <c r="A13" i="5"/>
  <c r="E13" i="5"/>
  <c r="A14" i="5"/>
  <c r="E14" i="5"/>
  <c r="A15" i="5"/>
  <c r="E15" i="5"/>
  <c r="A16" i="5"/>
  <c r="E16" i="5"/>
  <c r="A17" i="5"/>
  <c r="E17" i="5"/>
  <c r="A18" i="5"/>
  <c r="E18" i="5"/>
  <c r="A19" i="5"/>
  <c r="E19" i="5"/>
  <c r="A20" i="5"/>
  <c r="E20" i="5"/>
  <c r="A4" i="5"/>
  <c r="E4" i="5"/>
  <c r="A5" i="5"/>
  <c r="E5" i="5"/>
  <c r="A6" i="5"/>
  <c r="E6" i="5"/>
  <c r="A7" i="5"/>
  <c r="E7" i="5"/>
  <c r="A8" i="5"/>
  <c r="E8" i="5"/>
  <c r="A9" i="5"/>
  <c r="E9" i="5"/>
  <c r="A10" i="5"/>
  <c r="E10" i="5"/>
  <c r="A11" i="5"/>
  <c r="E11" i="5"/>
  <c r="A12" i="5"/>
  <c r="E12" i="5"/>
  <c r="J6" i="3"/>
  <c r="J29" i="3"/>
  <c r="J28" i="3"/>
  <c r="J27" i="3"/>
  <c r="J26" i="3"/>
  <c r="I26" i="3" s="1"/>
  <c r="J25" i="3"/>
  <c r="I25" i="3" s="1"/>
  <c r="J24" i="3"/>
  <c r="I24" i="3" s="1"/>
  <c r="J23" i="3"/>
  <c r="J22" i="3"/>
  <c r="I22" i="3" s="1"/>
  <c r="J21" i="3"/>
  <c r="I21" i="3" s="1"/>
  <c r="J20" i="3"/>
  <c r="I20" i="3" s="1"/>
  <c r="J19" i="3"/>
  <c r="I19" i="3" s="1"/>
  <c r="J18" i="3"/>
  <c r="I18" i="3" s="1"/>
  <c r="J17" i="3"/>
  <c r="I17" i="3" s="1"/>
  <c r="J16" i="3"/>
  <c r="J15" i="3"/>
  <c r="I15" i="3" s="1"/>
  <c r="J13" i="3"/>
  <c r="I13" i="3" s="1"/>
  <c r="J12" i="3"/>
  <c r="J11" i="3"/>
  <c r="I11" i="3" s="1"/>
  <c r="J8" i="3"/>
  <c r="I8" i="3" s="1"/>
  <c r="J7" i="3"/>
  <c r="I7" i="3" s="1"/>
  <c r="J9" i="3"/>
  <c r="I9" i="3" s="1"/>
  <c r="J10" i="3"/>
  <c r="I10" i="3" s="1"/>
  <c r="I2" i="3"/>
  <c r="I5" i="3"/>
  <c r="I6" i="3"/>
  <c r="C2" i="2"/>
  <c r="I29" i="3"/>
  <c r="I3" i="3"/>
  <c r="I4" i="3"/>
  <c r="I12" i="3"/>
  <c r="I16" i="3"/>
  <c r="I23" i="3"/>
  <c r="I27" i="3"/>
  <c r="I28" i="3"/>
  <c r="D3" i="3"/>
  <c r="E3" i="4" s="1"/>
  <c r="D4" i="3"/>
  <c r="E4" i="4" s="1"/>
  <c r="D5" i="3"/>
  <c r="E5" i="4" s="1"/>
  <c r="D6" i="3"/>
  <c r="E6" i="4" s="1"/>
  <c r="D7" i="3"/>
  <c r="E7" i="4" s="1"/>
  <c r="D8" i="3"/>
  <c r="E8" i="4" s="1"/>
  <c r="D9" i="3"/>
  <c r="E9" i="4" s="1"/>
  <c r="D10" i="3"/>
  <c r="E10" i="4" s="1"/>
  <c r="D11" i="3"/>
  <c r="E11" i="4" s="1"/>
  <c r="D12" i="3"/>
  <c r="E12" i="4" s="1"/>
  <c r="D13" i="3"/>
  <c r="E13" i="4" s="1"/>
  <c r="D15" i="3"/>
  <c r="E15" i="4" s="1"/>
  <c r="D16" i="3"/>
  <c r="E16" i="4" s="1"/>
  <c r="D17" i="3"/>
  <c r="E17" i="4" s="1"/>
  <c r="D18" i="3"/>
  <c r="E18" i="4" s="1"/>
  <c r="D19" i="3"/>
  <c r="E19" i="4" s="1"/>
  <c r="D20" i="3"/>
  <c r="E20" i="4" s="1"/>
  <c r="D21" i="3"/>
  <c r="E21" i="4" s="1"/>
  <c r="D22" i="3"/>
  <c r="E22" i="4" s="1"/>
  <c r="D23" i="3"/>
  <c r="E23" i="4" s="1"/>
  <c r="D24" i="3"/>
  <c r="E24" i="4" s="1"/>
  <c r="D25" i="3"/>
  <c r="E25" i="4" s="1"/>
  <c r="D26" i="3"/>
  <c r="E26" i="4" s="1"/>
  <c r="D27" i="3"/>
  <c r="E27" i="4" s="1"/>
  <c r="D28" i="3"/>
  <c r="E28" i="4" s="1"/>
  <c r="D29" i="3"/>
  <c r="E29" i="4" s="1"/>
  <c r="D2" i="3"/>
  <c r="E2" i="4" s="1"/>
  <c r="A27" i="3"/>
  <c r="A27" i="4" s="1"/>
  <c r="A28" i="3"/>
  <c r="A28" i="4" s="1"/>
  <c r="A29" i="3"/>
  <c r="A29" i="4" s="1"/>
  <c r="A4" i="3"/>
  <c r="A5" i="3"/>
  <c r="A6" i="3"/>
  <c r="A7" i="3"/>
  <c r="A8" i="3"/>
  <c r="A9" i="3"/>
  <c r="A10" i="3"/>
  <c r="A11" i="3"/>
  <c r="A12" i="3"/>
  <c r="A13" i="3"/>
  <c r="A15" i="3"/>
  <c r="A15" i="4" s="1"/>
  <c r="A16" i="3"/>
  <c r="A16" i="4" s="1"/>
  <c r="A17" i="3"/>
  <c r="A17" i="4" s="1"/>
  <c r="A18" i="3"/>
  <c r="A18" i="4" s="1"/>
  <c r="A19" i="3"/>
  <c r="A19" i="4" s="1"/>
  <c r="A20" i="3"/>
  <c r="A20" i="4" s="1"/>
  <c r="A21" i="3"/>
  <c r="A21" i="4" s="1"/>
  <c r="A22" i="3"/>
  <c r="A22" i="4" s="1"/>
  <c r="A23" i="3"/>
  <c r="A23" i="4" s="1"/>
  <c r="A24" i="3"/>
  <c r="A24" i="4" s="1"/>
  <c r="A25" i="3"/>
  <c r="A25" i="4" s="1"/>
  <c r="A26" i="3"/>
  <c r="A26" i="4" s="1"/>
  <c r="A3" i="3"/>
  <c r="A2" i="3"/>
  <c r="I3" i="2"/>
  <c r="I4" i="2"/>
  <c r="I5" i="2"/>
  <c r="I6" i="2"/>
  <c r="I7" i="2"/>
  <c r="I8" i="2"/>
  <c r="I9" i="2"/>
  <c r="I10" i="2"/>
  <c r="I11" i="2"/>
  <c r="I12" i="2"/>
  <c r="I13" i="2"/>
  <c r="I14" i="2"/>
  <c r="F14" i="3" s="1"/>
  <c r="I15" i="2"/>
  <c r="I16" i="2"/>
  <c r="I17" i="2"/>
  <c r="I18" i="2"/>
  <c r="I19" i="2"/>
  <c r="I20" i="2"/>
  <c r="I21" i="2"/>
  <c r="I22" i="2"/>
  <c r="I23" i="2"/>
  <c r="I24" i="2"/>
  <c r="I25" i="2"/>
  <c r="I26" i="2"/>
  <c r="I27" i="2"/>
  <c r="I28" i="2"/>
  <c r="I29" i="2"/>
  <c r="I2" i="2"/>
  <c r="A20" i="30"/>
  <c r="C40" i="2"/>
  <c r="A18" i="30"/>
  <c r="A19"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 i="30"/>
  <c r="AE2" i="18" a="1"/>
  <c r="AE2" i="18" s="1"/>
  <c r="AE1" i="18" a="1"/>
  <c r="AE1" i="18" s="1"/>
  <c r="C4" i="2"/>
  <c r="C6" i="2"/>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5" i="3"/>
  <c r="B34" i="3"/>
  <c r="B32" i="3"/>
  <c r="B31" i="3"/>
  <c r="B30" i="3"/>
  <c r="E3" i="5"/>
  <c r="A3" i="5"/>
  <c r="B31" i="4" a="1"/>
  <c r="B31" i="4" s="1"/>
  <c r="B32" i="4" a="1"/>
  <c r="B32" i="4" s="1"/>
  <c r="B33" i="4" a="1"/>
  <c r="B33" i="4" s="1"/>
  <c r="B34" i="4" a="1"/>
  <c r="B34" i="4" s="1"/>
  <c r="B35" i="4" a="1"/>
  <c r="B35" i="4" s="1"/>
  <c r="B36" i="4" a="1"/>
  <c r="B36" i="4" s="1"/>
  <c r="B37" i="4" a="1"/>
  <c r="B37" i="4" s="1"/>
  <c r="B38" i="4" a="1"/>
  <c r="B38" i="4" s="1"/>
  <c r="B39" i="4" a="1"/>
  <c r="B39" i="4" s="1"/>
  <c r="B40" i="4" a="1"/>
  <c r="B40" i="4" s="1"/>
  <c r="B41" i="4" a="1"/>
  <c r="B41" i="4" s="1"/>
  <c r="B42" i="4" a="1"/>
  <c r="B42" i="4" s="1"/>
  <c r="B43" i="4" a="1"/>
  <c r="B43" i="4" s="1"/>
  <c r="B44" i="4" a="1"/>
  <c r="B44" i="4" s="1"/>
  <c r="B45" i="4" a="1"/>
  <c r="B45" i="4" s="1"/>
  <c r="B46" i="4" a="1"/>
  <c r="B46" i="4" s="1"/>
  <c r="B47" i="4" a="1"/>
  <c r="B47" i="4" s="1"/>
  <c r="B48" i="4" a="1"/>
  <c r="B48" i="4" s="1"/>
  <c r="B49" i="4" a="1"/>
  <c r="B49" i="4" s="1"/>
  <c r="B50" i="4" a="1"/>
  <c r="B50" i="4" s="1"/>
  <c r="B51" i="4" a="1"/>
  <c r="B51" i="4" s="1"/>
  <c r="B52" i="4" a="1"/>
  <c r="B52" i="4" s="1"/>
  <c r="B53" i="4" a="1"/>
  <c r="B53" i="4" s="1"/>
  <c r="B54" i="4" a="1"/>
  <c r="B54" i="4" s="1"/>
  <c r="B55" i="4" a="1"/>
  <c r="B55" i="4" s="1"/>
  <c r="B56" i="4" a="1"/>
  <c r="B56" i="4" s="1"/>
  <c r="B57" i="4" a="1"/>
  <c r="B57" i="4" s="1"/>
  <c r="B58" i="4" a="1"/>
  <c r="B58" i="4" s="1"/>
  <c r="B59" i="4" a="1"/>
  <c r="B59" i="4" s="1"/>
  <c r="B60" i="4" a="1"/>
  <c r="B60" i="4" s="1"/>
  <c r="B61" i="4" a="1"/>
  <c r="B61" i="4" s="1"/>
  <c r="B62" i="4" a="1"/>
  <c r="B62" i="4" s="1"/>
  <c r="B63" i="4" a="1"/>
  <c r="B63" i="4" s="1"/>
  <c r="B64" i="4" a="1"/>
  <c r="B64" i="4" s="1"/>
  <c r="B65" i="4" a="1"/>
  <c r="B65" i="4" s="1"/>
  <c r="B66" i="4" a="1"/>
  <c r="B66" i="4" s="1"/>
  <c r="B67" i="4" a="1"/>
  <c r="B67" i="4" s="1"/>
  <c r="B68" i="4" a="1"/>
  <c r="B68" i="4" s="1"/>
  <c r="B69" i="4" a="1"/>
  <c r="B69" i="4" s="1"/>
  <c r="B70" i="4" a="1"/>
  <c r="B70" i="4" s="1"/>
  <c r="B71" i="4" a="1"/>
  <c r="B71" i="4" s="1"/>
  <c r="B72" i="4" a="1"/>
  <c r="B72" i="4" s="1"/>
  <c r="B73" i="4" a="1"/>
  <c r="B73" i="4" s="1"/>
  <c r="B74" i="4" a="1"/>
  <c r="B74" i="4" s="1"/>
  <c r="B75" i="4" a="1"/>
  <c r="B75" i="4" s="1"/>
  <c r="B76" i="4" a="1"/>
  <c r="B76" i="4" s="1"/>
  <c r="B77" i="4" a="1"/>
  <c r="B77" i="4" s="1"/>
  <c r="B78" i="4" a="1"/>
  <c r="B78" i="4" s="1"/>
  <c r="B79" i="4" a="1"/>
  <c r="B79" i="4" s="1"/>
  <c r="B80" i="4" a="1"/>
  <c r="B80" i="4" s="1"/>
  <c r="B81" i="4" a="1"/>
  <c r="B81" i="4" s="1"/>
  <c r="B82" i="4" a="1"/>
  <c r="B82" i="4" s="1"/>
  <c r="B83" i="4" a="1"/>
  <c r="B83" i="4" s="1"/>
  <c r="B84" i="4" a="1"/>
  <c r="B84" i="4" s="1"/>
  <c r="B85" i="4" a="1"/>
  <c r="B85" i="4" s="1"/>
  <c r="B86" i="4" a="1"/>
  <c r="B86" i="4" s="1"/>
  <c r="B87" i="4" a="1"/>
  <c r="B87" i="4" s="1"/>
  <c r="B88" i="4" a="1"/>
  <c r="B88" i="4" s="1"/>
  <c r="B89" i="4" a="1"/>
  <c r="B89" i="4" s="1"/>
  <c r="B90" i="4" a="1"/>
  <c r="B90" i="4" s="1"/>
  <c r="B91" i="4" a="1"/>
  <c r="B91" i="4" s="1"/>
  <c r="B92" i="4" a="1"/>
  <c r="B92" i="4" s="1"/>
  <c r="B93" i="4" a="1"/>
  <c r="B93" i="4" s="1"/>
  <c r="B94" i="4" a="1"/>
  <c r="B94" i="4" s="1"/>
  <c r="B95" i="4" a="1"/>
  <c r="B95" i="4" s="1"/>
  <c r="B96" i="4" a="1"/>
  <c r="B96" i="4" s="1"/>
  <c r="B97" i="4" a="1"/>
  <c r="B97" i="4" s="1"/>
  <c r="B98" i="4" a="1"/>
  <c r="B98" i="4" s="1"/>
  <c r="B99" i="4" a="1"/>
  <c r="B99" i="4" s="1"/>
  <c r="C34" i="2"/>
  <c r="C35" i="2"/>
  <c r="C37" i="2"/>
  <c r="C38" i="2"/>
  <c r="C39" i="2"/>
  <c r="C41"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29" i="2"/>
  <c r="C27" i="2"/>
  <c r="C25" i="2"/>
  <c r="C23" i="2"/>
  <c r="C21" i="2"/>
  <c r="C19" i="2"/>
  <c r="C17" i="2"/>
  <c r="C15" i="2"/>
  <c r="C13" i="2"/>
  <c r="C11" i="2"/>
  <c r="C9" i="2"/>
  <c r="C7" i="2"/>
  <c r="C5" i="2"/>
  <c r="C3" i="2"/>
  <c r="C28" i="2"/>
  <c r="C26" i="2"/>
  <c r="C24" i="2"/>
  <c r="C22" i="2"/>
  <c r="C20" i="2"/>
  <c r="C18" i="2"/>
  <c r="C18" i="3" s="1"/>
  <c r="C16" i="2"/>
  <c r="C14" i="2"/>
  <c r="C14" i="3" s="1"/>
  <c r="C10" i="2"/>
  <c r="C8" i="2"/>
  <c r="C48" i="10"/>
  <c r="C49" i="10"/>
  <c r="C50" i="10"/>
  <c r="C51" i="10"/>
  <c r="C52" i="10"/>
  <c r="C53" i="10"/>
  <c r="C54" i="10"/>
  <c r="C55" i="10"/>
  <c r="C56" i="10"/>
  <c r="C57" i="10"/>
  <c r="C58" i="10"/>
  <c r="C59" i="10"/>
  <c r="C60" i="10"/>
  <c r="C61" i="10"/>
  <c r="B25" i="10"/>
  <c r="B26" i="10"/>
  <c r="B27" i="10"/>
  <c r="B28" i="10"/>
  <c r="B29" i="10"/>
  <c r="B30" i="10"/>
  <c r="B31" i="10"/>
  <c r="B32" i="10"/>
  <c r="B33" i="10"/>
  <c r="C33" i="10" s="1"/>
  <c r="B34" i="10"/>
  <c r="C34" i="10" s="1"/>
  <c r="B35" i="10"/>
  <c r="C35" i="10" s="1"/>
  <c r="B36" i="10"/>
  <c r="C36" i="10" s="1"/>
  <c r="B37" i="10"/>
  <c r="C37" i="10" s="1"/>
  <c r="B38" i="10"/>
  <c r="C38" i="10" s="1"/>
  <c r="B39" i="10"/>
  <c r="C39" i="10" s="1"/>
  <c r="B40" i="10"/>
  <c r="C40" i="10" s="1"/>
  <c r="B41" i="10"/>
  <c r="B42" i="10"/>
  <c r="B43" i="10"/>
  <c r="B44" i="10"/>
  <c r="B45" i="10"/>
  <c r="B46" i="10"/>
  <c r="B47" i="10"/>
  <c r="B48" i="10"/>
  <c r="B49" i="10"/>
  <c r="B50" i="10"/>
  <c r="B51" i="10"/>
  <c r="B52" i="10"/>
  <c r="B53" i="10"/>
  <c r="B54" i="10"/>
  <c r="B55" i="10"/>
  <c r="B56" i="10"/>
  <c r="B57" i="10"/>
  <c r="B58" i="10"/>
  <c r="B59" i="10"/>
  <c r="B60" i="10"/>
  <c r="B61" i="10"/>
  <c r="B3" i="10"/>
  <c r="B4" i="10"/>
  <c r="B5" i="10"/>
  <c r="C5" i="10" s="1"/>
  <c r="B6" i="10"/>
  <c r="C6" i="10" s="1"/>
  <c r="B7" i="10"/>
  <c r="B8" i="10"/>
  <c r="B9" i="10"/>
  <c r="B10" i="10"/>
  <c r="B11" i="10"/>
  <c r="B12" i="10"/>
  <c r="B13" i="10"/>
  <c r="C13" i="10" s="1"/>
  <c r="B14" i="10"/>
  <c r="C14" i="10" s="1"/>
  <c r="B15" i="10"/>
  <c r="C15" i="10" s="1"/>
  <c r="B16" i="10"/>
  <c r="C16" i="10" s="1"/>
  <c r="B17" i="10"/>
  <c r="C17" i="10" s="1"/>
  <c r="B18" i="10"/>
  <c r="C18" i="10" s="1"/>
  <c r="B19" i="10"/>
  <c r="B20" i="10"/>
  <c r="B21" i="10"/>
  <c r="B22" i="10"/>
  <c r="B23" i="10"/>
  <c r="B24" i="10"/>
  <c r="C2" i="10"/>
  <c r="B2" i="10"/>
  <c r="C47" i="10"/>
  <c r="C7" i="10"/>
  <c r="C8" i="10"/>
  <c r="C9" i="10"/>
  <c r="C10" i="10"/>
  <c r="C11" i="10"/>
  <c r="C12" i="10"/>
  <c r="C22" i="10"/>
  <c r="C23" i="10"/>
  <c r="C24" i="10"/>
  <c r="C25" i="10"/>
  <c r="C26" i="10"/>
  <c r="C27" i="10"/>
  <c r="C28" i="10"/>
  <c r="C29" i="10"/>
  <c r="C30" i="10"/>
  <c r="C31" i="10"/>
  <c r="C32" i="10"/>
  <c r="C41" i="10"/>
  <c r="C42" i="10"/>
  <c r="C43" i="10"/>
  <c r="C44" i="10"/>
  <c r="C45" i="10"/>
  <c r="C46" i="10"/>
  <c r="C3" i="10"/>
  <c r="C4" i="10"/>
  <c r="C19" i="10"/>
  <c r="C20" i="10"/>
  <c r="C21" i="10"/>
  <c r="C27" i="3" l="1"/>
  <c r="B17" i="3"/>
  <c r="B28" i="3"/>
  <c r="C10" i="3"/>
  <c r="E26" i="3"/>
  <c r="F15" i="3"/>
  <c r="C29" i="3"/>
  <c r="F4" i="3"/>
  <c r="A4" i="4"/>
  <c r="F13" i="3"/>
  <c r="A13" i="4"/>
  <c r="E28" i="3"/>
  <c r="C12" i="3"/>
  <c r="A12" i="4"/>
  <c r="B27" i="3"/>
  <c r="E11" i="3"/>
  <c r="A11" i="4"/>
  <c r="B22" i="3"/>
  <c r="F10" i="3"/>
  <c r="A10" i="4"/>
  <c r="B21" i="3"/>
  <c r="E9" i="3"/>
  <c r="A9" i="4"/>
  <c r="F3" i="3"/>
  <c r="A3" i="4"/>
  <c r="F16" i="3"/>
  <c r="F23" i="3"/>
  <c r="B20" i="3"/>
  <c r="F8" i="3"/>
  <c r="A8" i="4"/>
  <c r="C19" i="3"/>
  <c r="F7" i="3"/>
  <c r="A7" i="4"/>
  <c r="E18" i="3"/>
  <c r="F6" i="3"/>
  <c r="A6" i="4"/>
  <c r="C2" i="3"/>
  <c r="A2" i="4"/>
  <c r="B2" i="4" s="1" a="1"/>
  <c r="B2" i="4" s="1"/>
  <c r="F17" i="3"/>
  <c r="F5" i="3"/>
  <c r="A5" i="4"/>
  <c r="C25" i="3"/>
  <c r="C24" i="3"/>
  <c r="F29" i="3"/>
  <c r="C28" i="3"/>
  <c r="E29" i="3"/>
  <c r="E27" i="3"/>
  <c r="F27" i="3"/>
  <c r="B18" i="3"/>
  <c r="B19" i="3"/>
  <c r="E20" i="3"/>
  <c r="B29" i="3"/>
  <c r="C20" i="3"/>
  <c r="F18" i="3"/>
  <c r="E19" i="3"/>
  <c r="C17" i="3"/>
  <c r="E13" i="3"/>
  <c r="C16" i="3"/>
  <c r="E10" i="3"/>
  <c r="B15" i="3"/>
  <c r="B16" i="3"/>
  <c r="E25" i="3"/>
  <c r="E24" i="3"/>
  <c r="E22" i="3"/>
  <c r="E12" i="3"/>
  <c r="F2" i="3"/>
  <c r="E8" i="3"/>
  <c r="F28" i="3"/>
  <c r="B23" i="3"/>
  <c r="E7" i="3"/>
  <c r="B24" i="3"/>
  <c r="E5" i="3"/>
  <c r="F19" i="3"/>
  <c r="E3" i="3"/>
  <c r="E2" i="3"/>
  <c r="F12" i="3"/>
  <c r="B25" i="3"/>
  <c r="E23" i="3"/>
  <c r="E6" i="3"/>
  <c r="F11" i="3"/>
  <c r="B26" i="3"/>
  <c r="E21" i="3"/>
  <c r="E4" i="3"/>
  <c r="F26" i="3"/>
  <c r="F9" i="3"/>
  <c r="C23" i="3"/>
  <c r="F25" i="3"/>
  <c r="C22" i="3"/>
  <c r="E17" i="3"/>
  <c r="F22" i="3"/>
  <c r="C26" i="3"/>
  <c r="F24" i="3"/>
  <c r="C21" i="3"/>
  <c r="E16" i="3"/>
  <c r="F21" i="3"/>
  <c r="B12" i="3"/>
  <c r="E15" i="3"/>
  <c r="F20" i="3"/>
  <c r="C15" i="3"/>
  <c r="B3" i="4" l="1" a="1"/>
  <c r="B3" i="4" s="1"/>
  <c r="B4" i="4" l="1" a="1"/>
  <c r="B4" i="4" s="1"/>
  <c r="B5" i="4" s="1" a="1"/>
  <c r="B5" i="4" s="1"/>
  <c r="B6" i="4" l="1" a="1"/>
  <c r="B6" i="4" s="1"/>
  <c r="B7" i="4" s="1" a="1"/>
  <c r="B7" i="4" s="1"/>
  <c r="B8" i="4" l="1" a="1"/>
  <c r="B8" i="4" s="1"/>
  <c r="B9" i="4" l="1" a="1"/>
  <c r="B9" i="4" s="1"/>
  <c r="B10" i="4" s="1" a="1"/>
  <c r="B10" i="4" s="1"/>
  <c r="B11" i="4" l="1" a="1"/>
  <c r="B11" i="4" s="1"/>
  <c r="B12" i="4" s="1" a="1"/>
  <c r="B12" i="4" s="1"/>
  <c r="B13" i="4" s="1" a="1"/>
  <c r="B13" i="4" s="1"/>
  <c r="B14" i="4" s="1" a="1"/>
  <c r="B14" i="4" s="1"/>
  <c r="B15" i="4" s="1" a="1"/>
  <c r="B15" i="4" s="1"/>
  <c r="B16" i="4" s="1" a="1"/>
  <c r="B16" i="4" s="1"/>
  <c r="B17" i="4" s="1" a="1"/>
  <c r="B17" i="4" s="1"/>
  <c r="B18" i="4" l="1" a="1"/>
  <c r="B18" i="4" s="1"/>
  <c r="B19" i="4" s="1" a="1"/>
  <c r="B19" i="4" s="1"/>
  <c r="B20" i="4" s="1" a="1"/>
  <c r="B20" i="4" s="1"/>
  <c r="B21" i="4" s="1" a="1"/>
  <c r="B21" i="4" s="1"/>
  <c r="B22" i="4" s="1" a="1"/>
  <c r="B22" i="4" s="1"/>
  <c r="B23" i="4" s="1" a="1"/>
  <c r="B23" i="4" s="1"/>
  <c r="D11" i="10"/>
  <c r="C11" i="3"/>
  <c r="B24" i="4" l="1" a="1"/>
  <c r="B24" i="4" s="1"/>
  <c r="B25" i="4" s="1" a="1"/>
  <c r="B25" i="4" s="1"/>
  <c r="B26" i="4" s="1" a="1"/>
  <c r="B26" i="4" s="1"/>
  <c r="B27" i="4" s="1" a="1"/>
  <c r="B27" i="4" s="1"/>
  <c r="B28" i="4" s="1" a="1"/>
  <c r="B28" i="4" s="1"/>
  <c r="B29" i="4" s="1" a="1"/>
  <c r="B29" i="4" s="1"/>
  <c r="B30" i="4" s="1" a="1"/>
  <c r="B30" i="4" s="1"/>
  <c r="D48" i="10"/>
  <c r="D61" i="10"/>
  <c r="D54" i="10"/>
  <c r="D9" i="10"/>
  <c r="D40" i="10"/>
  <c r="D7" i="10"/>
  <c r="B9" i="3"/>
  <c r="D24" i="10"/>
  <c r="B7" i="3"/>
  <c r="D49" i="10"/>
  <c r="D22" i="10"/>
  <c r="D28" i="10"/>
  <c r="C6" i="3"/>
  <c r="D57" i="10"/>
  <c r="D18" i="10"/>
  <c r="D26" i="10"/>
  <c r="D37" i="10"/>
  <c r="D43" i="10"/>
  <c r="D55" i="10"/>
  <c r="D56" i="10"/>
  <c r="D59" i="10"/>
  <c r="D8" i="10"/>
  <c r="D53" i="10"/>
  <c r="C13" i="3"/>
  <c r="D47" i="10"/>
  <c r="D3" i="10"/>
  <c r="B8" i="3"/>
  <c r="D51" i="10"/>
  <c r="D13" i="10"/>
  <c r="D38" i="10"/>
  <c r="D41" i="10"/>
  <c r="D20" i="10"/>
  <c r="D58" i="10"/>
  <c r="D45" i="10"/>
  <c r="D16" i="10"/>
  <c r="D15" i="10"/>
  <c r="B13" i="3"/>
  <c r="B3" i="3"/>
  <c r="D36" i="10"/>
  <c r="B11" i="3"/>
  <c r="D25" i="10"/>
  <c r="D17" i="10"/>
  <c r="D44" i="10"/>
  <c r="D6" i="10"/>
  <c r="D5" i="10"/>
  <c r="D4" i="10"/>
  <c r="D42" i="10"/>
  <c r="D34" i="10"/>
  <c r="B4" i="3"/>
  <c r="D33" i="10"/>
  <c r="B6" i="3"/>
  <c r="D29" i="10"/>
  <c r="C8" i="3"/>
  <c r="D19" i="10"/>
  <c r="C4" i="3"/>
  <c r="D31" i="10"/>
  <c r="D52" i="10"/>
  <c r="D50" i="10"/>
  <c r="B5" i="3"/>
  <c r="D30" i="10"/>
  <c r="D32" i="10"/>
  <c r="D12" i="10"/>
  <c r="D23" i="10"/>
  <c r="D2" i="10"/>
  <c r="D35" i="10"/>
  <c r="D14" i="10"/>
  <c r="D39" i="10"/>
  <c r="D60" i="10"/>
  <c r="D10" i="10"/>
  <c r="C7" i="3"/>
  <c r="D21" i="10"/>
  <c r="D27" i="10"/>
  <c r="C3" i="3"/>
  <c r="B2" i="3"/>
  <c r="C9" i="3"/>
  <c r="C5" i="3"/>
  <c r="D46" i="10"/>
  <c r="F58" i="10" l="1"/>
  <c r="F4" i="10"/>
  <c r="F60" i="10"/>
  <c r="F27" i="10"/>
  <c r="F17" i="10"/>
  <c r="F3" i="10"/>
  <c r="M3" i="10" s="1"/>
  <c r="F54" i="10"/>
  <c r="F11" i="10"/>
  <c r="F32" i="10"/>
  <c r="F24" i="10"/>
  <c r="F20" i="10"/>
  <c r="F53" i="10"/>
  <c r="F28" i="10"/>
  <c r="F26" i="10"/>
  <c r="F6" i="10"/>
  <c r="F59" i="10"/>
  <c r="F18" i="10"/>
  <c r="F61" i="10"/>
  <c r="F44" i="10"/>
  <c r="F16" i="10"/>
  <c r="F57" i="10"/>
  <c r="F39" i="10"/>
  <c r="F43" i="10"/>
  <c r="F34" i="10"/>
  <c r="F56" i="10"/>
  <c r="F37" i="10"/>
  <c r="F21" i="10"/>
  <c r="F12" i="10"/>
  <c r="F45" i="10"/>
  <c r="F42" i="10"/>
  <c r="F14" i="10"/>
  <c r="F50" i="10"/>
  <c r="F10" i="10"/>
  <c r="F55" i="10"/>
  <c r="F40" i="10"/>
  <c r="F52" i="10"/>
  <c r="F33" i="10"/>
  <c r="F35" i="10"/>
  <c r="F25" i="10"/>
  <c r="F13" i="10"/>
  <c r="F62" i="10"/>
  <c r="F8" i="10"/>
  <c r="F29" i="10"/>
  <c r="F9" i="10"/>
  <c r="F23" i="10"/>
  <c r="F46" i="10"/>
  <c r="F7" i="10"/>
  <c r="F49" i="10"/>
  <c r="F19" i="10"/>
  <c r="F31" i="10"/>
  <c r="F38" i="10"/>
  <c r="F48" i="10"/>
  <c r="F30" i="10"/>
  <c r="F36" i="10"/>
  <c r="F47" i="10"/>
  <c r="F15" i="10"/>
  <c r="F5" i="10"/>
  <c r="F41" i="10"/>
  <c r="F51" i="10"/>
  <c r="F22" i="10"/>
  <c r="F2" i="10"/>
  <c r="M2"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Zorko Petrusa</author>
  </authors>
  <commentList>
    <comment ref="G2" authorId="0" shapeId="0" xr:uid="{83E35259-4C69-F44C-A916-C0526D7F01E6}">
      <text>
        <r>
          <rPr>
            <b/>
            <sz val="10"/>
            <color rgb="FF000000"/>
            <rFont val="Tahoma"/>
            <family val="2"/>
          </rPr>
          <t>Zorko Petrusa:</t>
        </r>
        <r>
          <rPr>
            <sz val="10"/>
            <color rgb="FF000000"/>
            <rFont val="Tahoma"/>
            <family val="2"/>
          </rPr>
          <t xml:space="preserve">
</t>
        </r>
        <r>
          <rPr>
            <sz val="10"/>
            <color rgb="FF000000"/>
            <rFont val="Tahoma"/>
            <family val="2"/>
          </rPr>
          <t>Asset can be one of the following 4 types:</t>
        </r>
      </text>
    </comment>
    <comment ref="I2" authorId="0" shapeId="0" xr:uid="{1B13D3FA-9FBF-FC4C-A2B8-2C87EDFC97F2}">
      <text>
        <r>
          <rPr>
            <b/>
            <sz val="10"/>
            <color rgb="FF000000"/>
            <rFont val="Tahoma"/>
            <family val="2"/>
          </rPr>
          <t>Zorko Petrusa:</t>
        </r>
        <r>
          <rPr>
            <sz val="10"/>
            <color rgb="FF000000"/>
            <rFont val="Tahoma"/>
            <family val="2"/>
          </rPr>
          <t xml:space="preserve">
</t>
        </r>
        <r>
          <rPr>
            <sz val="10"/>
            <color rgb="FF000000"/>
            <rFont val="Tahoma"/>
            <family val="2"/>
          </rPr>
          <t>List of all Assets we will consider for security management</t>
        </r>
      </text>
    </comment>
    <comment ref="L2" authorId="0" shapeId="0" xr:uid="{546E1911-9D92-4239-A6F4-13FD68157AC3}">
      <text>
        <r>
          <rPr>
            <sz val="11"/>
            <color rgb="FF000000"/>
            <rFont val="Calibri"/>
            <family val="2"/>
          </rPr>
          <t xml:space="preserve">Zorko Petrusa:
</t>
        </r>
        <r>
          <rPr>
            <sz val="11"/>
            <color rgb="FF000000"/>
            <rFont val="Calibri"/>
            <family val="2"/>
          </rPr>
          <t>Controls listed here are not necessary mapped 1-to-1 to the Threats and Vulnerabilities stated in the same line.</t>
        </r>
      </text>
    </comment>
    <comment ref="M2" authorId="0" shapeId="0" xr:uid="{78373A6F-CAF3-274D-B688-B8784EFB2BA4}">
      <text>
        <r>
          <rPr>
            <sz val="11"/>
            <color rgb="FF000000"/>
            <rFont val="Calibri"/>
            <family val="2"/>
          </rPr>
          <t xml:space="preserve">Zorko Petrusa:
</t>
        </r>
        <r>
          <rPr>
            <sz val="11"/>
            <color rgb="FF000000"/>
            <rFont val="Calibri"/>
            <family val="2"/>
          </rPr>
          <t>Controls listed here are not necessary mapped 1-to-1 to the Threats and Vulnerabilities stated in the same line.</t>
        </r>
      </text>
    </comment>
    <comment ref="P2" authorId="0" shapeId="0" xr:uid="{60332CA7-74A5-AC45-82E3-EA69E4FF25C1}">
      <text>
        <r>
          <rPr>
            <b/>
            <sz val="10"/>
            <color rgb="FF000000"/>
            <rFont val="Tahoma"/>
            <family val="2"/>
          </rPr>
          <t>Zorko Petrusa:</t>
        </r>
        <r>
          <rPr>
            <sz val="10"/>
            <color rgb="FF000000"/>
            <rFont val="Tahoma"/>
            <family val="2"/>
          </rPr>
          <t xml:space="preserve">
</t>
        </r>
        <r>
          <rPr>
            <sz val="10"/>
            <color rgb="FF000000"/>
            <rFont val="Tahoma"/>
            <family val="2"/>
          </rPr>
          <t>Check in MS leanr and in one of the Policy docs that we already might have defined this.</t>
        </r>
      </text>
    </comment>
    <comment ref="Q3" authorId="0" shapeId="0" xr:uid="{123A637D-B6F5-D84B-BE22-D0D8BF92DE71}">
      <text>
        <r>
          <rPr>
            <b/>
            <sz val="10"/>
            <color rgb="FF000000"/>
            <rFont val="Tahoma"/>
            <family val="2"/>
          </rPr>
          <t>Zorko Petrusa:</t>
        </r>
        <r>
          <rPr>
            <sz val="10"/>
            <color rgb="FF000000"/>
            <rFont val="Tahoma"/>
            <family val="2"/>
          </rPr>
          <t xml:space="preserve">
</t>
        </r>
        <r>
          <rPr>
            <sz val="10"/>
            <color rgb="FF000000"/>
            <rFont val="Tahoma"/>
            <family val="2"/>
          </rPr>
          <t xml:space="preserve">Chech SSPA for exact terminology
</t>
        </r>
        <r>
          <rPr>
            <sz val="10"/>
            <color rgb="FF000000"/>
            <rFont val="Tahoma"/>
            <family val="2"/>
          </rPr>
          <t>This will be added to the policy document and aligned.</t>
        </r>
      </text>
    </comment>
    <comment ref="G9" authorId="0" shapeId="0" xr:uid="{644A5E1D-9445-5940-86C6-1CE1BD983848}">
      <text>
        <r>
          <rPr>
            <b/>
            <sz val="10"/>
            <color rgb="FF000000"/>
            <rFont val="Tahoma"/>
            <family val="2"/>
          </rPr>
          <t>Zorko Petrusa:</t>
        </r>
        <r>
          <rPr>
            <sz val="10"/>
            <color rgb="FF000000"/>
            <rFont val="Tahoma"/>
            <family val="2"/>
          </rPr>
          <t xml:space="preserve">
</t>
        </r>
        <r>
          <rPr>
            <sz val="10"/>
            <color rgb="FF000000"/>
            <rFont val="Tahoma"/>
            <family val="2"/>
          </rPr>
          <t>List of possible asset owners. If needed, this list can be exapanded.</t>
        </r>
      </text>
    </comment>
    <comment ref="G21" authorId="0" shapeId="0" xr:uid="{0F547F57-021E-0448-A626-6493F3F85253}">
      <text>
        <r>
          <rPr>
            <b/>
            <sz val="10"/>
            <color rgb="FF000000"/>
            <rFont val="Tahoma"/>
            <family val="2"/>
          </rPr>
          <t>Zorko Petrusa:</t>
        </r>
        <r>
          <rPr>
            <sz val="10"/>
            <color rgb="FF000000"/>
            <rFont val="Tahoma"/>
            <family val="2"/>
          </rPr>
          <t xml:space="preserve">
</t>
        </r>
        <r>
          <rPr>
            <sz val="10"/>
            <color rgb="FF000000"/>
            <rFont val="Tahoma"/>
            <family val="2"/>
          </rPr>
          <t>This is defined in the Information Security Policy document.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Zorko Petrusa</author>
  </authors>
  <commentList>
    <comment ref="J1" authorId="0" shapeId="0" xr:uid="{44926A06-861B-458D-BDEF-46AA021D782B}">
      <text>
        <r>
          <rPr>
            <sz val="11"/>
            <color rgb="FF000000"/>
            <rFont val="Calibri"/>
            <family val="2"/>
          </rPr>
          <t xml:space="preserve">Zorko Petrusa:
</t>
        </r>
        <r>
          <rPr>
            <sz val="11"/>
            <color rgb="FF000000"/>
            <rFont val="Calibri"/>
            <family val="2"/>
          </rPr>
          <t>Choose one of the Roles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Zorko Petrusa</author>
    <author>tc={0004149D-410F-4F86-B2BB-3BDB4C64C0C4}</author>
  </authors>
  <commentList>
    <comment ref="A1" authorId="0" shapeId="0" xr:uid="{12383697-C182-AD4F-BF45-6D06A70799BB}">
      <text>
        <r>
          <rPr>
            <b/>
            <sz val="10"/>
            <color rgb="FF000000"/>
            <rFont val="Tahoma"/>
            <family val="2"/>
          </rPr>
          <t>Zorko Petrusa:</t>
        </r>
        <r>
          <rPr>
            <sz val="10"/>
            <color rgb="FF000000"/>
            <rFont val="Tahoma"/>
            <family val="2"/>
          </rPr>
          <t xml:space="preserve">
</t>
        </r>
        <r>
          <rPr>
            <sz val="10"/>
            <color rgb="FF000000"/>
            <rFont val="Calibri"/>
            <family val="2"/>
            <scheme val="minor"/>
          </rPr>
          <t>Populated automatically</t>
        </r>
        <r>
          <rPr>
            <sz val="10"/>
            <color rgb="FF000000"/>
            <rFont val="Calibri"/>
            <family val="2"/>
            <scheme val="minor"/>
          </rPr>
          <t xml:space="preserve">
</t>
        </r>
      </text>
    </comment>
    <comment ref="B1" authorId="0" shapeId="0" xr:uid="{7D283CA3-0DC0-564D-B3FD-A667A1452FE8}">
      <text>
        <r>
          <rPr>
            <b/>
            <sz val="10"/>
            <color rgb="FF000000"/>
            <rFont val="Tahoma"/>
            <family val="2"/>
          </rPr>
          <t>Zorko Petrusa:</t>
        </r>
        <r>
          <rPr>
            <sz val="10"/>
            <color rgb="FF000000"/>
            <rFont val="Tahoma"/>
            <family val="2"/>
          </rPr>
          <t xml:space="preserve">
</t>
        </r>
        <r>
          <rPr>
            <sz val="10"/>
            <color rgb="FF000000"/>
            <rFont val="Calibri"/>
            <family val="2"/>
            <scheme val="minor"/>
          </rPr>
          <t>Populated automatically</t>
        </r>
        <r>
          <rPr>
            <sz val="10"/>
            <color rgb="FF000000"/>
            <rFont val="Calibri"/>
            <family val="2"/>
            <scheme val="minor"/>
          </rPr>
          <t xml:space="preserve">
</t>
        </r>
      </text>
    </comment>
    <comment ref="C1" authorId="0" shapeId="0" xr:uid="{598A8E41-4905-FF4E-8C0F-E368784E1609}">
      <text>
        <r>
          <rPr>
            <b/>
            <sz val="10"/>
            <color rgb="FF000000"/>
            <rFont val="Tahoma"/>
            <family val="2"/>
          </rPr>
          <t>Zorko Petrusa:</t>
        </r>
        <r>
          <rPr>
            <sz val="10"/>
            <color rgb="FF000000"/>
            <rFont val="Tahoma"/>
            <family val="2"/>
          </rPr>
          <t xml:space="preserve">
</t>
        </r>
        <r>
          <rPr>
            <sz val="10"/>
            <color rgb="FF000000"/>
            <rFont val="Calibri"/>
            <family val="2"/>
            <scheme val="minor"/>
          </rPr>
          <t>Populated automatically</t>
        </r>
        <r>
          <rPr>
            <sz val="10"/>
            <color rgb="FF000000"/>
            <rFont val="Calibri"/>
            <family val="2"/>
            <scheme val="minor"/>
          </rPr>
          <t xml:space="preserve">
</t>
        </r>
        <r>
          <rPr>
            <sz val="10"/>
            <color rgb="FF000000"/>
            <rFont val="Tahoma"/>
            <family val="2"/>
          </rPr>
          <t xml:space="preserve">
</t>
        </r>
      </text>
    </comment>
    <comment ref="D1" authorId="0" shapeId="0" xr:uid="{D3A6DD5F-2A92-1949-AA4A-2AC0792D43E1}">
      <text>
        <r>
          <rPr>
            <b/>
            <sz val="10"/>
            <color rgb="FF000000"/>
            <rFont val="Tahoma"/>
            <family val="2"/>
          </rPr>
          <t>Zorko Petrusa:</t>
        </r>
        <r>
          <rPr>
            <sz val="10"/>
            <color rgb="FF000000"/>
            <rFont val="Tahoma"/>
            <family val="2"/>
          </rPr>
          <t xml:space="preserve">
</t>
        </r>
        <r>
          <rPr>
            <sz val="10"/>
            <color rgb="FF000000"/>
            <rFont val="Calibri"/>
            <family val="2"/>
          </rPr>
          <t xml:space="preserve">Populated automatically
</t>
        </r>
      </text>
    </comment>
    <comment ref="E1" authorId="0" shapeId="0" xr:uid="{C2622900-5E48-154C-B248-46F306FC3CF5}">
      <text>
        <r>
          <rPr>
            <b/>
            <sz val="10"/>
            <color rgb="FF000000"/>
            <rFont val="Tahoma"/>
            <family val="2"/>
          </rPr>
          <t>Zorko Petrusa:</t>
        </r>
        <r>
          <rPr>
            <sz val="10"/>
            <color rgb="FF000000"/>
            <rFont val="Tahoma"/>
            <family val="2"/>
          </rPr>
          <t xml:space="preserve">
</t>
        </r>
        <r>
          <rPr>
            <sz val="10"/>
            <color rgb="FF000000"/>
            <rFont val="Calibri"/>
            <family val="2"/>
            <scheme val="minor"/>
          </rPr>
          <t>Populated automatically</t>
        </r>
        <r>
          <rPr>
            <sz val="10"/>
            <color rgb="FF000000"/>
            <rFont val="Calibri"/>
            <family val="2"/>
            <scheme val="minor"/>
          </rPr>
          <t xml:space="preserve">
</t>
        </r>
      </text>
    </comment>
    <comment ref="F1" authorId="0" shapeId="0" xr:uid="{88287D25-F05A-CE43-BA0F-F7970417CCFB}">
      <text>
        <r>
          <rPr>
            <b/>
            <sz val="10"/>
            <color rgb="FF000000"/>
            <rFont val="Tahoma"/>
            <family val="2"/>
          </rPr>
          <t>Zorko Petrusa:</t>
        </r>
        <r>
          <rPr>
            <sz val="10"/>
            <color rgb="FF000000"/>
            <rFont val="Tahoma"/>
            <family val="2"/>
          </rPr>
          <t xml:space="preserve">
</t>
        </r>
        <r>
          <rPr>
            <sz val="10"/>
            <color rgb="FF000000"/>
            <rFont val="Calibri"/>
            <family val="2"/>
            <scheme val="minor"/>
          </rPr>
          <t>Populated automatically</t>
        </r>
        <r>
          <rPr>
            <sz val="10"/>
            <color rgb="FF000000"/>
            <rFont val="Calibri"/>
            <family val="2"/>
            <scheme val="minor"/>
          </rPr>
          <t xml:space="preserve">
</t>
        </r>
      </text>
    </comment>
    <comment ref="G1" authorId="0" shapeId="0" xr:uid="{7C046AC4-3D31-D149-B382-CDF345D8F745}">
      <text>
        <r>
          <rPr>
            <b/>
            <sz val="10"/>
            <color rgb="FF000000"/>
            <rFont val="Tahoma"/>
            <family val="2"/>
          </rPr>
          <t>Zorko Petrusa:</t>
        </r>
        <r>
          <rPr>
            <sz val="10"/>
            <color rgb="FF000000"/>
            <rFont val="Tahoma"/>
            <family val="2"/>
          </rPr>
          <t xml:space="preserve">
</t>
        </r>
        <r>
          <rPr>
            <sz val="10"/>
            <color rgb="FF000000"/>
            <rFont val="Tahoma"/>
            <family val="2"/>
          </rPr>
          <t>Select an option</t>
        </r>
      </text>
    </comment>
    <comment ref="I1" authorId="0" shapeId="0" xr:uid="{7C951400-C7CE-B642-B621-5618D0023E2E}">
      <text>
        <r>
          <rPr>
            <b/>
            <sz val="10"/>
            <color rgb="FF000000"/>
            <rFont val="Tahoma"/>
            <family val="2"/>
          </rPr>
          <t>Zorko Petrusa:</t>
        </r>
        <r>
          <rPr>
            <sz val="10"/>
            <color rgb="FF000000"/>
            <rFont val="Tahoma"/>
            <family val="2"/>
          </rPr>
          <t xml:space="preserve">
</t>
        </r>
        <r>
          <rPr>
            <sz val="10"/>
            <color rgb="FF000000"/>
            <rFont val="Tahoma"/>
            <family val="2"/>
          </rPr>
          <t>Free entry field</t>
        </r>
      </text>
    </comment>
    <comment ref="J1" authorId="0" shapeId="0" xr:uid="{947E055B-C401-094F-86DF-CAF8EA0E1491}">
      <text>
        <r>
          <rPr>
            <b/>
            <sz val="10"/>
            <color rgb="FF000000"/>
            <rFont val="Tahoma"/>
            <family val="2"/>
          </rPr>
          <t>Zorko Petrusa:</t>
        </r>
        <r>
          <rPr>
            <sz val="10"/>
            <color rgb="FF000000"/>
            <rFont val="Tahoma"/>
            <family val="2"/>
          </rPr>
          <t xml:space="preserve">
</t>
        </r>
        <r>
          <rPr>
            <sz val="10"/>
            <color rgb="FF000000"/>
            <rFont val="Tahoma"/>
            <family val="2"/>
          </rPr>
          <t>Select appropriate control from Statement of Applicability sheet</t>
        </r>
      </text>
    </comment>
    <comment ref="Q1" authorId="1" shapeId="0" xr:uid="{0004149D-410F-4F86-B2BB-3BDB4C64C0C4}">
      <text>
        <t>[Threaded comment]
Your version of Excel allows you to read this threaded comment; however, any edits to it will get removed if the file is opened in a newer version of Excel. Learn more: https://go.microsoft.com/fwlink/?linkid=870924
Comment:
    Did the treatment work?</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tc={1CCB0FE1-4460-4FE9-9CB7-906CFF7CC4D0}</author>
    <author>tc={AEA68841-C02A-447C-93BD-CC0782EC22C8}</author>
    <author>tc={34F72ACF-95DA-4D44-9083-19E1C6875C04}</author>
  </authors>
  <commentList>
    <comment ref="P2" authorId="0" shapeId="0" xr:uid="{1CCB0FE1-4460-4FE9-9CB7-906CFF7CC4D0}">
      <text>
        <t>[Threaded comment]
Your version of Excel allows you to read this threaded comment; however, any edits to it will get removed if the file is opened in a newer version of Excel. Learn more: https://go.microsoft.com/fwlink/?linkid=870924
Comment:
    system log, email, screenshot, file copy etc.</t>
      </text>
    </comment>
    <comment ref="Q2" authorId="1" shapeId="0" xr:uid="{AEA68841-C02A-447C-93BD-CC0782EC22C8}">
      <text>
        <t>[Threaded comment]
Your version of Excel allows you to read this threaded comment; however, any edits to it will get removed if the file is opened in a newer version of Excel. Learn more: https://go.microsoft.com/fwlink/?linkid=870924
Comment:
    secure drive,, SharePoint, M365 Audit Logs etc.</t>
      </text>
    </comment>
    <comment ref="R2" authorId="2" shapeId="0" xr:uid="{34F72ACF-95DA-4D44-9083-19E1C6875C04}">
      <text>
        <t>[Threaded comment]
Your version of Excel allows you to read this threaded comment; however, any edits to it will get removed if the file is opened in a newer version of Excel. Learn more: https://go.microsoft.com/fwlink/?linkid=870924
Comment:
    Who collected the evidence, when, and where stored. Include any transfers. Example: "Petra - 20/09/2025 - Sharepoint - Sent to Zorko 21/09/2025"</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Zorko Petrusa</author>
  </authors>
  <commentList>
    <comment ref="D1" authorId="0" shapeId="0" xr:uid="{750ABBB9-3DB2-F240-A3E8-44EB1A00E605}">
      <text>
        <r>
          <rPr>
            <b/>
            <sz val="10"/>
            <color rgb="FF000000"/>
            <rFont val="Tahoma"/>
            <family val="2"/>
          </rPr>
          <t>Zorko Petrusa:</t>
        </r>
        <r>
          <rPr>
            <sz val="10"/>
            <color rgb="FF000000"/>
            <rFont val="Tahoma"/>
            <family val="2"/>
          </rPr>
          <t xml:space="preserve">
</t>
        </r>
        <r>
          <rPr>
            <sz val="10"/>
            <color rgb="FF000000"/>
            <rFont val="Tahoma"/>
            <family val="2"/>
          </rPr>
          <t>Fill in the name</t>
        </r>
      </text>
    </comment>
    <comment ref="G1" authorId="0" shapeId="0" xr:uid="{BD198C37-B7D8-6049-A745-B29AA45CB35B}">
      <text>
        <r>
          <rPr>
            <b/>
            <sz val="10"/>
            <color rgb="FF000000"/>
            <rFont val="Tahoma"/>
            <family val="2"/>
          </rPr>
          <t>Zorko Petrusa:</t>
        </r>
        <r>
          <rPr>
            <sz val="10"/>
            <color rgb="FF000000"/>
            <rFont val="Tahoma"/>
            <family val="2"/>
          </rPr>
          <t xml:space="preserve">
</t>
        </r>
        <r>
          <rPr>
            <sz val="10"/>
            <color rgb="FF000000"/>
            <rFont val="Tahoma"/>
            <family val="2"/>
          </rPr>
          <t>Place desdcription of the change here</t>
        </r>
      </text>
    </comment>
    <comment ref="K1" authorId="0" shapeId="0" xr:uid="{5A37E004-4161-FB41-9903-EA42B04F6540}">
      <text>
        <r>
          <rPr>
            <b/>
            <sz val="10"/>
            <color rgb="FF000000"/>
            <rFont val="Tahoma"/>
            <family val="2"/>
          </rPr>
          <t>Zorko Petrusa:</t>
        </r>
        <r>
          <rPr>
            <sz val="10"/>
            <color rgb="FF000000"/>
            <rFont val="Tahoma"/>
            <family val="2"/>
          </rPr>
          <t xml:space="preserve">
</t>
        </r>
        <r>
          <rPr>
            <sz val="10"/>
            <color rgb="FF000000"/>
            <rFont val="Tahoma"/>
            <family val="2"/>
          </rPr>
          <t>Free input field</t>
        </r>
      </text>
    </comment>
    <comment ref="Q1" authorId="0" shapeId="0" xr:uid="{794B0D66-D308-6847-BEC3-011B6FA40204}">
      <text>
        <r>
          <rPr>
            <b/>
            <sz val="10"/>
            <color rgb="FF000000"/>
            <rFont val="Tahoma"/>
            <family val="2"/>
          </rPr>
          <t>Zorko Petrusa:</t>
        </r>
        <r>
          <rPr>
            <sz val="10"/>
            <color rgb="FF000000"/>
            <rFont val="Tahoma"/>
            <family val="2"/>
          </rPr>
          <t xml:space="preserve">
</t>
        </r>
        <r>
          <rPr>
            <sz val="10"/>
            <color rgb="FF000000"/>
            <rFont val="Tahoma"/>
            <family val="2"/>
          </rPr>
          <t>Describe the plan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tc={681DADFE-200D-419D-B4BA-D398579FD96C}</author>
  </authors>
  <commentList>
    <comment ref="H1" authorId="0" shapeId="0" xr:uid="{681DADFE-200D-419D-B4BA-D398579FD96C}">
      <text>
        <t>[Threaded comment]
Your version of Excel allows you to read this threaded comment; however, any edits to it will get removed if the file is opened in a newer version of Excel. Learn more: https://go.microsoft.com/fwlink/?linkid=870924
Comment:
    quarterly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tc={86D45655-D806-40C7-8CBB-843732636492}</author>
  </authors>
  <commentList>
    <comment ref="A1" authorId="0" shapeId="0" xr:uid="{86D45655-D806-40C7-8CBB-843732636492}">
      <text>
        <t>[Threaded comment]
Your version of Excel allows you to read this threaded comment; however, any edits to it will get removed if the file is opened in a newer version of Excel. Learn more: https://go.microsoft.com/fwlink/?linkid=870924
Comment:
    Generated by odoo (badge 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tc={A7812890-F0A2-451B-97E9-41B96B22913C}</author>
    <author>tc={2F9A4C5C-CA35-4DAC-91B3-D30BC54BF1F7}</author>
  </authors>
  <commentList>
    <comment ref="E1" authorId="0" shapeId="0" xr:uid="{A7812890-F0A2-451B-97E9-41B96B22913C}">
      <text>
        <t>[Threaded comment]
Your version of Excel allows you to read this threaded comment; however, any edits to it will get removed if the file is opened in a newer version of Excel. Learn more: https://go.microsoft.com/fwlink/?linkid=870924
Comment:
    how our company complies</t>
      </text>
    </comment>
    <comment ref="H1" authorId="1" shapeId="0" xr:uid="{2F9A4C5C-CA35-4DAC-91B3-D30BC54BF1F7}">
      <text>
        <t>[Threaded comment]
Your version of Excel allows you to read this threaded comment; however, any edits to it will get removed if the file is opened in a newer version of Excel. Learn more: https://go.microsoft.com/fwlink/?linkid=870924
Comment:
    annually</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C1F14F-C670-B445-AD60-FF72FEBE88FD}" name="Asset ID,Asset Name,Asset Owner,Asset Type,Asset L" type="6" refreshedVersion="8" background="1" saveData="1">
    <textPr sourceFile="/Users/liborballaty/Downloads/Asset ID,Asset Name,Asset Owner,Asset Type,Asset L.csv" decimal="," thousands=" " comma="1">
      <textFields count="18">
        <textField/>
        <textField/>
        <textField/>
        <textField/>
        <textField/>
        <textField/>
        <textField/>
        <textField/>
        <textField/>
        <textField/>
        <textField/>
        <textField/>
        <textField/>
        <textField/>
        <textField/>
        <textField/>
        <textField/>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<sst xmlns="http://schemas.openxmlformats.org/spreadsheetml/2006/main" count="4839" uniqueCount="2128">
  <si>
    <t>Table of Contents</t>
  </si>
  <si>
    <t>Sheet Name</t>
  </si>
  <si>
    <t>Go to Sheet</t>
  </si>
  <si>
    <t>Documentation</t>
  </si>
  <si>
    <t>Go to Documentation</t>
  </si>
  <si>
    <t>Mapping</t>
  </si>
  <si>
    <t>Go to Mapping</t>
  </si>
  <si>
    <t>This Doc Chng Control</t>
  </si>
  <si>
    <t>Go to This Doc Chng Control</t>
  </si>
  <si>
    <t>ISMS Schedule</t>
  </si>
  <si>
    <t>Go to ISMS Schedule</t>
  </si>
  <si>
    <t>ISMS Objectives</t>
  </si>
  <si>
    <t>Go to ISMS Objectives</t>
  </si>
  <si>
    <t>Instructions and Definitions</t>
  </si>
  <si>
    <t>Go to Instructions and Definitions</t>
  </si>
  <si>
    <t>Asset Register</t>
  </si>
  <si>
    <t>Go to Asset Register</t>
  </si>
  <si>
    <t>Interested Parties</t>
  </si>
  <si>
    <t>Go to Interested Parties</t>
  </si>
  <si>
    <t>Risk Register</t>
  </si>
  <si>
    <t>Go to Risk Register</t>
  </si>
  <si>
    <t>x</t>
  </si>
  <si>
    <t>Risk Treatment Plan</t>
  </si>
  <si>
    <t>Go to Risk Treatment Plan</t>
  </si>
  <si>
    <t>Statement of Applicability</t>
  </si>
  <si>
    <t>Go to Statement of Applicability</t>
  </si>
  <si>
    <t>ISMS Action Tracker</t>
  </si>
  <si>
    <t>Go to ISMS Action Tracker</t>
  </si>
  <si>
    <t>BIA Bus. Impact Ass.</t>
  </si>
  <si>
    <t>Go to BIA Bus. Impact Ass.</t>
  </si>
  <si>
    <t>Incident Log</t>
  </si>
  <si>
    <t>Go to Incident Log</t>
  </si>
  <si>
    <t>Audit Log</t>
  </si>
  <si>
    <t>Go to Audit Log</t>
  </si>
  <si>
    <t>External Audit Log</t>
  </si>
  <si>
    <t>Go to External Audit Log</t>
  </si>
  <si>
    <t>Training &amp; Awarnesse Record</t>
  </si>
  <si>
    <t>Go to Training &amp; Awarnesse Record</t>
  </si>
  <si>
    <t>Spec Int Engagement Log</t>
  </si>
  <si>
    <t>Go to Spec Int Engagement Log</t>
  </si>
  <si>
    <t>Management Review Log</t>
  </si>
  <si>
    <t>Go to Management Review Log</t>
  </si>
  <si>
    <t>Change Mgmt Log</t>
  </si>
  <si>
    <t>Go to Change Mgmt Log</t>
  </si>
  <si>
    <t>Document Cont. Reg.</t>
  </si>
  <si>
    <t>Go to Document Cont. Reg.</t>
  </si>
  <si>
    <t>Monitoring Log</t>
  </si>
  <si>
    <t>Go to Monitoring Log</t>
  </si>
  <si>
    <t>User BYOD Compl. Log</t>
  </si>
  <si>
    <t>Go to User BYOD Compl. Log</t>
  </si>
  <si>
    <t>Risk Comms Matrix</t>
  </si>
  <si>
    <t>Go to Risk Comms Matrix</t>
  </si>
  <si>
    <t>NonConf Act. Tracker</t>
  </si>
  <si>
    <t>Go to NonConf Act. Tracker</t>
  </si>
  <si>
    <t>PenTest Sec Ass Log</t>
  </si>
  <si>
    <t>Go to PenTest Sec Ass Log</t>
  </si>
  <si>
    <t xml:space="preserve">ThirdParty Vendor Risk </t>
  </si>
  <si>
    <t xml:space="preserve">Go to ThirdParty Vendor Risk </t>
  </si>
  <si>
    <t>Business Partners Assessment</t>
  </si>
  <si>
    <t>Go to Business Partners Assessment</t>
  </si>
  <si>
    <t>Business Cont DR Plan</t>
  </si>
  <si>
    <t>Go to Business Cont DR Plan</t>
  </si>
  <si>
    <t>Quarterly Security Review</t>
  </si>
  <si>
    <t>Go to Quarterly Security Review</t>
  </si>
  <si>
    <t>Competence Records</t>
  </si>
  <si>
    <t>Go to Competence Records</t>
  </si>
  <si>
    <t>Access Review Log</t>
  </si>
  <si>
    <t>Go to Access Review Log</t>
  </si>
  <si>
    <t>Access Register</t>
  </si>
  <si>
    <t>Info Sec KPI Metrics Tracker</t>
  </si>
  <si>
    <t>Go to Info Sec KPI Metrics Tracker</t>
  </si>
  <si>
    <t>Internal &amp; External Parties</t>
  </si>
  <si>
    <t>Go to Internal and External Parties</t>
  </si>
  <si>
    <t>Legal &amp; Regul. Compl. Register</t>
  </si>
  <si>
    <t>Go to Legal and Regul. Compl. Register</t>
  </si>
  <si>
    <t>Formulas</t>
  </si>
  <si>
    <t>Go to Formulas</t>
  </si>
  <si>
    <t>Mapping of Workbook Sheets to Policy Documents</t>
  </si>
  <si>
    <t>Workbook Sheet</t>
  </si>
  <si>
    <t>Relevant Policy Document(s)</t>
  </si>
  <si>
    <t>Relevant Process Document(s)</t>
  </si>
  <si>
    <t>Purpose of Mapping</t>
  </si>
  <si>
    <t>All Policy Documents</t>
  </si>
  <si>
    <t>Central repository for policies and procedures.</t>
  </si>
  <si>
    <t>This Doc Change Control</t>
  </si>
  <si>
    <t>Document Control Policy</t>
  </si>
  <si>
    <t>Tracks document revisions and approvals.</t>
  </si>
  <si>
    <t>Information Security Policy</t>
  </si>
  <si>
    <t>Defines security objectives and alignment with business goals.</t>
  </si>
  <si>
    <t>All Policies</t>
  </si>
  <si>
    <t>Provides key definitions and usage guidelines.</t>
  </si>
  <si>
    <t>Access Control Policy, Risk Management Policy</t>
  </si>
  <si>
    <t>Identifies and manages information security assets.</t>
  </si>
  <si>
    <t>Risk Management Policy, Information Security Policy</t>
  </si>
  <si>
    <t>Documents security risks and associated controls.</t>
  </si>
  <si>
    <t>Risk Management Policy</t>
  </si>
  <si>
    <t>Defines mitigation strategies for identified risks.</t>
  </si>
  <si>
    <t>Information Security Policy, Risk Management Policy</t>
  </si>
  <si>
    <t>Maps ISO 27001 Annex A controls to the organization’s security framework.</t>
  </si>
  <si>
    <t>Tracks corrective actions related to ISMS improvements.</t>
  </si>
  <si>
    <t>BIA Business Impact Assessment</t>
  </si>
  <si>
    <t>Business Continuity Policy</t>
  </si>
  <si>
    <t>Evaluates the impact of security incidents on business operations.</t>
  </si>
  <si>
    <t>Incident Management Policy</t>
  </si>
  <si>
    <t>Records and tracks security incidents.</t>
  </si>
  <si>
    <t>Information Security &amp; Data Management Policy, Compliance Policy</t>
  </si>
  <si>
    <t>Logs internal and external audits.</t>
  </si>
  <si>
    <t>Training &amp; Awareness Record</t>
  </si>
  <si>
    <t>Training and Awareness Policy</t>
  </si>
  <si>
    <t>Tracks training activities and security awareness programs.</t>
  </si>
  <si>
    <t>Documents periodic ISMS review meetings.</t>
  </si>
  <si>
    <t>Change Management Log</t>
  </si>
  <si>
    <t>Change Management Policy</t>
  </si>
  <si>
    <t>Tracks security-related changes and approvals.</t>
  </si>
  <si>
    <t>Document Control Registry</t>
  </si>
  <si>
    <t>Ensures controlled updates and approvals of security documentation.</t>
  </si>
  <si>
    <t>Security Assessment Policy</t>
  </si>
  <si>
    <t>Logs security monitoring activities.</t>
  </si>
  <si>
    <t>Security Assessment Log</t>
  </si>
  <si>
    <t>Penetration Testing &amp; Security Assessment Policy</t>
  </si>
  <si>
    <t>Records security assessments and penetration testing results.</t>
  </si>
  <si>
    <t>User BYOD Compliance Log</t>
  </si>
  <si>
    <t>Remote Work and Device Security Policy</t>
  </si>
  <si>
    <t>Ensures personal devices comply with security policies.</t>
  </si>
  <si>
    <t>Risk Communication Matrix</t>
  </si>
  <si>
    <t>Documents how security risks are communicated within the organization.</t>
  </si>
  <si>
    <t>Non-Conformity Action Tracker</t>
  </si>
  <si>
    <t>Compliance Policy</t>
  </si>
  <si>
    <t>Tracks security non-conformities and corrective actions.</t>
  </si>
  <si>
    <t>Penetration Testing Security Assessment Log</t>
  </si>
  <si>
    <t>Documents penetration testing findings and remediation actions.</t>
  </si>
  <si>
    <t>Third Party Vendor Risk</t>
  </si>
  <si>
    <t>Supplier &amp; Vendor Security Policy</t>
  </si>
  <si>
    <t>Assesses risks associated with third-party vendors.</t>
  </si>
  <si>
    <t>Business Continuity &amp; DR Plan</t>
  </si>
  <si>
    <t>Outlines disaster recovery and continuity plans.</t>
  </si>
  <si>
    <t>Quarterly Security Review Log</t>
  </si>
  <si>
    <t>Documents quarterly security assessments and reviews.</t>
  </si>
  <si>
    <t>Maintains security training and competency records.</t>
  </si>
  <si>
    <t>Operational Planning &amp; Controls</t>
  </si>
  <si>
    <t>Documents security controls for operational security.</t>
  </si>
  <si>
    <t>Access Control Matrix</t>
  </si>
  <si>
    <t>Access Control Policy</t>
  </si>
  <si>
    <t>Access Management Process</t>
  </si>
  <si>
    <t>Defines system access rights and user permissions.</t>
  </si>
  <si>
    <t>Security Policy Acknowledgment Log</t>
  </si>
  <si>
    <t>Information Security Policy, Training and Awareness Policy</t>
  </si>
  <si>
    <t>Tracks employee acknowledgment of security policies.</t>
  </si>
  <si>
    <t>Security KPI &amp; Metrics Tracker</t>
  </si>
  <si>
    <t>Information Security &amp; Data Management Policy</t>
  </si>
  <si>
    <t>Monitors key security performance metrics.</t>
  </si>
  <si>
    <t>N/A</t>
  </si>
  <si>
    <t>Used for calculations and automated tracking.</t>
  </si>
  <si>
    <t>Title:</t>
  </si>
  <si>
    <t>Document ID:</t>
  </si>
  <si>
    <t>Owner:</t>
  </si>
  <si>
    <t>Version</t>
  </si>
  <si>
    <t>Language:</t>
  </si>
  <si>
    <t>ISMS Workbook</t>
  </si>
  <si>
    <t>DOC005</t>
  </si>
  <si>
    <t>ISMS Manager</t>
  </si>
  <si>
    <t>1.0</t>
  </si>
  <si>
    <t>EN</t>
  </si>
  <si>
    <t>Status:</t>
  </si>
  <si>
    <t>Name:</t>
  </si>
  <si>
    <t>Function:</t>
  </si>
  <si>
    <t>Date:</t>
  </si>
  <si>
    <t>Signature:</t>
  </si>
  <si>
    <t>Created:</t>
  </si>
  <si>
    <t>Libor Ballaty</t>
  </si>
  <si>
    <t>Reviewd:</t>
  </si>
  <si>
    <t>Zorko Petrusa</t>
  </si>
  <si>
    <t>Data Protection &amp; Risk Manager</t>
  </si>
  <si>
    <t>Approved:</t>
  </si>
  <si>
    <t>Joseph Kamula</t>
  </si>
  <si>
    <t>ISMS Owner</t>
  </si>
  <si>
    <t>REVISION HISTORY</t>
  </si>
  <si>
    <t>Version:</t>
  </si>
  <si>
    <t>Created by:</t>
  </si>
  <si>
    <t>Description of changes:</t>
  </si>
  <si>
    <t>Initial draft</t>
  </si>
  <si>
    <t xml:space="preserve">Classification of this document: Internal, Contains PII </t>
  </si>
  <si>
    <t>Change Number</t>
  </si>
  <si>
    <t>Date</t>
  </si>
  <si>
    <t>Who</t>
  </si>
  <si>
    <t>What</t>
  </si>
  <si>
    <t>Why</t>
  </si>
  <si>
    <t>Libor</t>
  </si>
  <si>
    <t>Added sheets and put them in some kind of order</t>
  </si>
  <si>
    <t>to complete the requirements for the 27001 tracking, logging and audits</t>
  </si>
  <si>
    <t xml:space="preserve">Added a TOC sheet </t>
  </si>
  <si>
    <t>to make it easier to go to the sheet you need</t>
  </si>
  <si>
    <t>Added Documentation sheet</t>
  </si>
  <si>
    <t>Need consistent descriptions of sheet contents</t>
  </si>
  <si>
    <t>Petra</t>
  </si>
  <si>
    <t>Added Monitoring Log sheet</t>
  </si>
  <si>
    <t>it is mandatory to track Results of monitoring and measurement</t>
  </si>
  <si>
    <t>Renamed Training Record sheet to Training &amp; Awarnesse Record</t>
  </si>
  <si>
    <t>to make the name of the sheet clear and awarness needs to be tracked as well</t>
  </si>
  <si>
    <t>added column E in the sheet Document Cont.Reg.</t>
  </si>
  <si>
    <t>since this sheet serves also as a doc list, it is good to know if the documented information is mandatory or optional</t>
  </si>
  <si>
    <t>in nonconformity sheet added columns Root cause, Results of Corrective Actions, Follow up actions and Verification/Review outcome</t>
  </si>
  <si>
    <t>to meet requirements of mandatory documented information and this way the sheet covers 2 mandatory documents which are "Nature of nonconformities and any subsequent actions taken" and "Results of any corrective action"</t>
  </si>
  <si>
    <t>Added Statement of Applicability Sheet</t>
  </si>
  <si>
    <t>it´s a list of controls, can be tracked in excel</t>
  </si>
  <si>
    <t>Added Carrying Out Planned Processes sheet</t>
  </si>
  <si>
    <t xml:space="preserve">High level overview of processes that serves mainly for audits and management </t>
  </si>
  <si>
    <t>REF ID</t>
  </si>
  <si>
    <t>TASK</t>
  </si>
  <si>
    <t>OWNER</t>
  </si>
  <si>
    <t>REFERENCE SHEET</t>
  </si>
  <si>
    <t>PRIORITY</t>
  </si>
  <si>
    <t>DUE DATE</t>
  </si>
  <si>
    <t>STATUS</t>
  </si>
  <si>
    <t>PROGRESS NOTES</t>
  </si>
  <si>
    <t>COMPLETION DATE</t>
  </si>
  <si>
    <t>AUD001</t>
  </si>
  <si>
    <t xml:space="preserve">Int. Audit: Access register records from Q4 2024 documentation incomplete. Signature missing in two entries – remediation needed </t>
  </si>
  <si>
    <t>Completed</t>
  </si>
  <si>
    <t>Signatures added to Security &amp; Incident Response Lead, Vulnerability management</t>
  </si>
  <si>
    <t xml:space="preserve">Int. Audit:Incident response drill planned but not done or documented for Q1 2025 . Drill did not occur but evidence not logged formally </t>
  </si>
  <si>
    <t>Zorko</t>
  </si>
  <si>
    <t xml:space="preserve">Int. Audit:Document Content Register in Workbook not reflecting final approval timestamps and change log. Recommend automating or enforcing version control </t>
  </si>
  <si>
    <t>Int Audit: Conduct review and update of Q4 2024 access register and complete documentation</t>
  </si>
  <si>
    <t>Data Owners</t>
  </si>
  <si>
    <t>completed</t>
  </si>
  <si>
    <t>Access register finalized, unnecessary users removed, Entra Admin Center restricted to admins only, quarterly review cycle implemented</t>
  </si>
  <si>
    <t>Int. Audit: Formalize documentation of IR drill in ISMS Workbook</t>
  </si>
  <si>
    <t>Int. audit: Retrain personnel w respect to log entry of approvals and change log in Workbook. Automation not feasible at this stage</t>
  </si>
  <si>
    <t>Discussed and team instructed during team meeting. All personnel retrained on Document Content Register procedures including approval timestamps and change log entries.</t>
  </si>
  <si>
    <t>MR002</t>
  </si>
  <si>
    <t>Complete Incident Response drill for Q1 (also document it in non conf action tracker)</t>
  </si>
  <si>
    <t xml:space="preserve">Update SoA to reflect recently closed controls </t>
  </si>
  <si>
    <t xml:space="preserve">Conduct and document first incident simulation </t>
  </si>
  <si>
    <t>AC010</t>
  </si>
  <si>
    <t>Implement document labeling in sharepoint and RBAC</t>
  </si>
  <si>
    <t>Sensitivity classification and doument labelling implemented in all sharepoint sites</t>
  </si>
  <si>
    <t>EAUD001</t>
  </si>
  <si>
    <t xml:space="preserve">OFI-Opportunity for improvement:It is advisable to implement a formal review of user access rights. </t>
  </si>
  <si>
    <t>OFI-Opportunity for improvement:It is advisable to define specific rules or maintain allow/deny lists for software usage. E.g. ChatGPT is used within the org, it must be classified as a third-party service, documented within the list of used systems/tools, covered by a usage policy outlining how it is used and what controls are in place.</t>
  </si>
  <si>
    <t>AI tools (ChatGPT, Claude, Gemini) added to Vendor Register as "IT Service" with usage restrictions. Software Allow/Deny List established in DOC003 section 3.25. AI usage policy already defined in DOC003 section 3.24 (prohibits PII processing)</t>
  </si>
  <si>
    <t xml:space="preserve">Create and deliver first ISMS Workbook usage training </t>
  </si>
  <si>
    <t>O005</t>
  </si>
  <si>
    <t>Measure and documentation of Security Incidents</t>
  </si>
  <si>
    <t>O006</t>
  </si>
  <si>
    <t>Availability of Training Systems</t>
  </si>
  <si>
    <t>Quarterly BC tabletop exercise</t>
  </si>
  <si>
    <t>Bus Continuity DR plan</t>
  </si>
  <si>
    <t>Monthly backup monitoring</t>
  </si>
  <si>
    <t>MOnitoring Log</t>
  </si>
  <si>
    <r>
      <rPr>
        <sz val="11"/>
        <color rgb="FFFF0000"/>
        <rFont val="Calibri"/>
        <scheme val="minor"/>
      </rPr>
      <t xml:space="preserve">Subscribe to CSA newsletter; review </t>
    </r>
    <r>
      <rPr>
        <b/>
        <sz val="11"/>
        <color rgb="FFFF0000"/>
        <rFont val="Calibri"/>
        <scheme val="minor"/>
      </rPr>
      <t>monthly</t>
    </r>
  </si>
  <si>
    <t>Special Interest Groups sheet</t>
  </si>
  <si>
    <r>
      <rPr>
        <sz val="11"/>
        <color theme="1"/>
        <rFont val="Calibri"/>
        <scheme val="minor"/>
      </rPr>
      <t xml:space="preserve">ENISA-Read threat landscape reports; summarize </t>
    </r>
    <r>
      <rPr>
        <b/>
        <sz val="11"/>
        <color theme="1"/>
        <rFont val="Calibri"/>
        <scheme val="minor"/>
      </rPr>
      <t>quarterly</t>
    </r>
  </si>
  <si>
    <t>https://www.enisa.europa.eu/rss-feeds-discontinued-new-subscription-mechanism-coming-soon</t>
  </si>
  <si>
    <t xml:space="preserve">Annual Review of NEW Cybersecurity Act (NIS 2 transposition, 2024 draft) </t>
  </si>
  <si>
    <t>Legal and Regul. Compl. Register</t>
  </si>
  <si>
    <t>Quarterly BYOD security check</t>
  </si>
  <si>
    <t>User BYOD</t>
  </si>
  <si>
    <t>BYOD self attestation form sent to all  Nov 11th</t>
  </si>
  <si>
    <t xml:space="preserve">OFI-Opportunity for improvement: It is advisable to evaluate business partners as part of the supplier assessment process. </t>
  </si>
  <si>
    <t xml:space="preserve">Business partners assessment sheet createdand completed. </t>
  </si>
  <si>
    <t>O002</t>
  </si>
  <si>
    <t>Increase Security Awareness Training</t>
  </si>
  <si>
    <t xml:space="preserve">Competence Review </t>
  </si>
  <si>
    <t>KPI Tracker</t>
  </si>
  <si>
    <t>Info Sec KPI metrics tracker</t>
  </si>
  <si>
    <t>Quarterly review of PII Access Register</t>
  </si>
  <si>
    <t>Access Register sheet</t>
  </si>
  <si>
    <t>NIST-Track updates to framework; assess ISMS impact</t>
  </si>
  <si>
    <t>Annual Review of Act No. 181/2014 Coll., on Cyber Security</t>
  </si>
  <si>
    <t xml:space="preserve">Annual Review of Decree No. 82/2018 Coll.(Cybersecurity Decree) </t>
  </si>
  <si>
    <t>BYOD quarterly review</t>
  </si>
  <si>
    <t>Follow Top 10 updates; integrate into SDLC at OWASP</t>
  </si>
  <si>
    <t>OFI-Opportunity for improvement: It is advisable to include an overview of audited clauses or controls in audit reports to ensure higher traceability and completeness of the audit record. In the next internal audit report, clearly state that all ISO 27001 core sections and Annex A controls were used as audit criteria. Confirm in the report that each section was reviewed in detail during the audit. The report should demonstrate that the entire ISMS was audited and this will be verified during the next external audit.</t>
  </si>
  <si>
    <t>Annual Review ISMS Documents</t>
  </si>
  <si>
    <t>Li, Zorko, Petra</t>
  </si>
  <si>
    <t>Document Cont Reg</t>
  </si>
  <si>
    <t>Review of PII Retention and Deletion Log</t>
  </si>
  <si>
    <t>PII Retention and Deletion Log</t>
  </si>
  <si>
    <t>Annual Risk assessment review (risk register and risk treatment plan)</t>
  </si>
  <si>
    <t>AC002</t>
  </si>
  <si>
    <t>Conduct mandatory phishing simulations and security awareness training for staff.</t>
  </si>
  <si>
    <t>AC015</t>
  </si>
  <si>
    <t>Manually test the website regularly and restrict access</t>
  </si>
  <si>
    <t>AC016</t>
  </si>
  <si>
    <t>Not a critical function</t>
  </si>
  <si>
    <t>AC017</t>
  </si>
  <si>
    <t>Use security groups and individual access RBAC</t>
  </si>
  <si>
    <t>AC019</t>
  </si>
  <si>
    <t>Enable autosave and document co-authoring in M365 with recovery enabled.</t>
  </si>
  <si>
    <t>Access Review</t>
  </si>
  <si>
    <t>Access Rev Log PII systems</t>
  </si>
  <si>
    <t>Internal Trainings</t>
  </si>
  <si>
    <t>Training sheet</t>
  </si>
  <si>
    <t>Annual Review of GDPR (General Data Protection Regulation)</t>
  </si>
  <si>
    <t>Annual Review of Act No. 110/2019 Coll</t>
  </si>
  <si>
    <t xml:space="preserve">Annual Review of Act No. 127/2005 Coll., on Electronic Communications </t>
  </si>
  <si>
    <t>Annual Review of Intellectual Property Law (Act No. 121/2000 Coll. on Copyright)</t>
  </si>
  <si>
    <t xml:space="preserve">Annual Review of Act No. 480/2004 Coll., on Certain Information-Society Services </t>
  </si>
  <si>
    <t xml:space="preserve">Annual Review of Act No. 499/2004 Coll., on Archiving &amp; Records Management </t>
  </si>
  <si>
    <t>Annual Review of ISO/IEC 27001:2022 (Information Security Management System)</t>
  </si>
  <si>
    <r>
      <rPr>
        <sz val="11"/>
        <color rgb="FF000000"/>
        <rFont val="Calibri"/>
        <scheme val="minor"/>
      </rPr>
      <t xml:space="preserve">CIS-Use controls for baseline reviews; review </t>
    </r>
    <r>
      <rPr>
        <b/>
        <sz val="11"/>
        <color rgb="FF000000"/>
        <rFont val="Calibri"/>
        <scheme val="minor"/>
      </rPr>
      <t>annually</t>
    </r>
  </si>
  <si>
    <t>Access Rev lof of non PII systems</t>
  </si>
  <si>
    <t>Next review date of vendor risk for XELTEC</t>
  </si>
  <si>
    <t>Third Party Vendor Risk assessment review</t>
  </si>
  <si>
    <t>Business partners assessment annually</t>
  </si>
  <si>
    <t>Review ISMS/PIMS Objectives- annually</t>
  </si>
  <si>
    <t>Annual Business Partners Assessment review</t>
  </si>
  <si>
    <t>Objective ID</t>
  </si>
  <si>
    <t>Objective Description</t>
  </si>
  <si>
    <t>Alignment with ISMS Policy</t>
  </si>
  <si>
    <t>Key Performance Indicators (KPIs)</t>
  </si>
  <si>
    <t>Responsible Party</t>
  </si>
  <si>
    <t>Resources Required</t>
  </si>
  <si>
    <t>Start Date</t>
  </si>
  <si>
    <t>Target Completion Date</t>
  </si>
  <si>
    <t>Current Status</t>
  </si>
  <si>
    <t>Progress Notes</t>
  </si>
  <si>
    <t>Review Date</t>
  </si>
  <si>
    <t>Review Outcome</t>
  </si>
  <si>
    <t>Next Review Date</t>
  </si>
  <si>
    <t>O001</t>
  </si>
  <si>
    <t>Compliance and legal allignment</t>
  </si>
  <si>
    <t>yes</t>
  </si>
  <si>
    <t>Periodic review results</t>
  </si>
  <si>
    <t>IT, Security and Risk Management Team</t>
  </si>
  <si>
    <t>Standard Tools and Storage</t>
  </si>
  <si>
    <t>MFA implemented company-wide. All use Microsoft Authenticator</t>
  </si>
  <si>
    <t>Self-attestation completed by all in the company confirming MFA enabled on devices used for work</t>
  </si>
  <si>
    <t>in progress</t>
  </si>
  <si>
    <t>Trainings have begun</t>
  </si>
  <si>
    <t>O003</t>
  </si>
  <si>
    <t>Implement an Incident Management Process</t>
  </si>
  <si>
    <t>Draft in DOC003 and DOC016</t>
  </si>
  <si>
    <t>Part of DOC003 and DOC016. Process includes incident detection, reporting (within 24h to ISMS Manager), classification, containment, response, documentation, and post-incident review</t>
  </si>
  <si>
    <t>O004</t>
  </si>
  <si>
    <t>Protection of Client Data</t>
  </si>
  <si>
    <t>Data Protection and Risk Manager</t>
  </si>
  <si>
    <t>Data verified in Odoo, to be reviewed</t>
  </si>
  <si>
    <t>PIMS implementation completed</t>
  </si>
  <si>
    <t>Internal Auditor</t>
  </si>
  <si>
    <t>Not begun</t>
  </si>
  <si>
    <t>To be done as part of internal audit</t>
  </si>
  <si>
    <t>O007</t>
  </si>
  <si>
    <t>Reduce Unauthorized Access Risks</t>
  </si>
  <si>
    <t>Identity, user and group access review ongoing</t>
  </si>
  <si>
    <t>RBAC implementation with quarterly reviews and incident tracking completed</t>
  </si>
  <si>
    <t>O008</t>
  </si>
  <si>
    <t>Establish compliance with local, regional and global privacy legislation/requirements</t>
  </si>
  <si>
    <t>Information Security Officer</t>
  </si>
  <si>
    <t>PIMS implementation</t>
  </si>
  <si>
    <t>Covered by ISO 27701 PIMS implementation</t>
  </si>
  <si>
    <t>O009</t>
  </si>
  <si>
    <t>Implement security configuration baselines, perform audits.</t>
  </si>
  <si>
    <t>ISMS/PIMS implementation</t>
  </si>
  <si>
    <t>ISO 27001/27701 controls and annual audit program established.</t>
  </si>
  <si>
    <t>Asset ID</t>
  </si>
  <si>
    <t>Asset Name</t>
  </si>
  <si>
    <t>Asset_Type</t>
  </si>
  <si>
    <t>Asset_Owner</t>
  </si>
  <si>
    <t>Asset_Location</t>
  </si>
  <si>
    <t>Asset Value</t>
  </si>
  <si>
    <t>Confidentiality</t>
  </si>
  <si>
    <t>Integrity</t>
  </si>
  <si>
    <t>Availability</t>
  </si>
  <si>
    <t>Comments</t>
  </si>
  <si>
    <t>Personal Data Types</t>
  </si>
  <si>
    <t>Data Subjects</t>
  </si>
  <si>
    <t>Processing Purposes</t>
  </si>
  <si>
    <t>Retention Period</t>
  </si>
  <si>
    <t>A001</t>
  </si>
  <si>
    <t>Client Data Contacts</t>
  </si>
  <si>
    <t>Information</t>
  </si>
  <si>
    <t>Sales Team</t>
  </si>
  <si>
    <t>Odoo Cloud</t>
  </si>
  <si>
    <t>High</t>
  </si>
  <si>
    <t>Medium</t>
  </si>
  <si>
    <t>Client sensitive data.</t>
  </si>
  <si>
    <t>Personal Identifiers</t>
  </si>
  <si>
    <t>Clients/Former Clients/Prospects</t>
  </si>
  <si>
    <t>Contract Management, Business communication</t>
  </si>
  <si>
    <t>5 years after contract ends or after last contact</t>
  </si>
  <si>
    <t>A002</t>
  </si>
  <si>
    <t>Training VMs in Azure</t>
  </si>
  <si>
    <t>Technology</t>
  </si>
  <si>
    <t>Training Team</t>
  </si>
  <si>
    <t>Azure Cloud Platform</t>
  </si>
  <si>
    <t>Low</t>
  </si>
  <si>
    <t>Training VM instances used to conduct labs on Azure</t>
  </si>
  <si>
    <t>Clients</t>
  </si>
  <si>
    <t>No PI</t>
  </si>
  <si>
    <t>A003</t>
  </si>
  <si>
    <t>Project Documentation</t>
  </si>
  <si>
    <t>Consulting Team</t>
  </si>
  <si>
    <t>MSFT Sharepoint</t>
  </si>
  <si>
    <t>Documentation related to completed and ongoing projects</t>
  </si>
  <si>
    <t>Clients, internal</t>
  </si>
  <si>
    <t>Project documentation</t>
  </si>
  <si>
    <t>A004</t>
  </si>
  <si>
    <t>Personal laptops used for work purpose</t>
  </si>
  <si>
    <t>IT Team</t>
  </si>
  <si>
    <t>Remote Work Locations</t>
  </si>
  <si>
    <t>User laptops owned by users - used to access Arion Networks cloud locations</t>
  </si>
  <si>
    <t>Clients/Former Clients/Prospects/Employees/Partners/Contractors</t>
  </si>
  <si>
    <t>Remote work access, business comm., cloud service access</t>
  </si>
  <si>
    <t>emails 3yrs, client data 3 yrs</t>
  </si>
  <si>
    <t>A005</t>
  </si>
  <si>
    <t>Training Materials</t>
  </si>
  <si>
    <t>IP-related training content.</t>
  </si>
  <si>
    <t>A006</t>
  </si>
  <si>
    <t>Internal Documents</t>
  </si>
  <si>
    <t>Process</t>
  </si>
  <si>
    <t>Management Team</t>
  </si>
  <si>
    <t>Documents describing internal process and policies</t>
  </si>
  <si>
    <t>Contact Data (employee names in role assignments in policy documentation)</t>
  </si>
  <si>
    <t>Employees, Contractors, Vendors</t>
  </si>
  <si>
    <t>Internal documentation, role assignment, policy management, vendor assessment documents</t>
  </si>
  <si>
    <t>3 yrs as per audit logs</t>
  </si>
  <si>
    <t>A007</t>
  </si>
  <si>
    <t>Internal Tracker and Audit Documents</t>
  </si>
  <si>
    <t xml:space="preserve">Medium </t>
  </si>
  <si>
    <t>Documents containing internal trackers and audits</t>
  </si>
  <si>
    <t>Contact Data (employee names, user activities, access logs)</t>
  </si>
  <si>
    <t>Compliance monitoring, Audit trails, Vendor assessments</t>
  </si>
  <si>
    <t>A008</t>
  </si>
  <si>
    <t>Company Website</t>
  </si>
  <si>
    <t>Hosted Cloud (Verpex)</t>
  </si>
  <si>
    <t>Public facing website</t>
  </si>
  <si>
    <t>Contact Data (cookies, web analytics, contact form submissions)</t>
  </si>
  <si>
    <t>Website visitors, prospects</t>
  </si>
  <si>
    <t>Web analytics, marketing, lead generation</t>
  </si>
  <si>
    <t>Cookies as per service provider settings (Google Analytics 24 months, session cookies until browser closed), contact form submissions 3 years after last contact (per Information Security and Data Management policy</t>
  </si>
  <si>
    <t>A009</t>
  </si>
  <si>
    <t>Contractors</t>
  </si>
  <si>
    <t>People</t>
  </si>
  <si>
    <t>HR Team</t>
  </si>
  <si>
    <t>Contractors for internal and customer facing work</t>
  </si>
  <si>
    <t>NDA execution, Contract Management, Vendor Management</t>
  </si>
  <si>
    <t>5 years after contract ends or after last business engagement</t>
  </si>
  <si>
    <t>A010</t>
  </si>
  <si>
    <t>Employees</t>
  </si>
  <si>
    <t>Produce Internal documents, marketing and sales</t>
  </si>
  <si>
    <t>Employment management, NDA execution</t>
  </si>
  <si>
    <t>5 years post employment</t>
  </si>
  <si>
    <t>A011</t>
  </si>
  <si>
    <t>Personal phones used for work purpose</t>
  </si>
  <si>
    <t>Phones owned by employees and used partially for work purposes</t>
  </si>
  <si>
    <t>Business comm., Remote access, cloud service access</t>
  </si>
  <si>
    <t>as per applications used</t>
  </si>
  <si>
    <t>A012</t>
  </si>
  <si>
    <t>Odoo Platform</t>
  </si>
  <si>
    <t>Odoo use is limited at this point to sales (contracts) and marketing</t>
  </si>
  <si>
    <t>Clients, Contractors, Partners, Prospects, Employees, Vendors</t>
  </si>
  <si>
    <t>Contract mgt., Employemnt mgt., NDA execution, Business communication, Relationship maintenance,</t>
  </si>
  <si>
    <t>as per data classification (3 years)</t>
  </si>
  <si>
    <t>A013</t>
  </si>
  <si>
    <t>Azure Cloud Services</t>
  </si>
  <si>
    <t>Azure cloud services use is shared vs dedicated</t>
  </si>
  <si>
    <t>N/A (training participants use fictitious credentials)</t>
  </si>
  <si>
    <t xml:space="preserve">Cloud infrastructure for hosting training </t>
  </si>
  <si>
    <t>A014</t>
  </si>
  <si>
    <t>Microsoft 365 &amp; SharePoint</t>
  </si>
  <si>
    <t>Standard office and Sharepoint document tools</t>
  </si>
  <si>
    <t>Employees, Contractors, Clients, Partners, Vendors</t>
  </si>
  <si>
    <t>Business comm., Document mgt., Collaboration, Emails</t>
  </si>
  <si>
    <t>As per data and policy</t>
  </si>
  <si>
    <t>A015</t>
  </si>
  <si>
    <t>Microsoft 365 &amp; SharePoint, Azure and OneDrive</t>
  </si>
  <si>
    <t>MS based cloud tools</t>
  </si>
  <si>
    <t>Business comm., Document mgt., Cloud services, Technology integration</t>
  </si>
  <si>
    <t>A016</t>
  </si>
  <si>
    <t>Regulators</t>
  </si>
  <si>
    <t>Global</t>
  </si>
  <si>
    <t>National, regional, global and industry privacy legislation/requirements</t>
  </si>
  <si>
    <t>Contact Data</t>
  </si>
  <si>
    <t>Regulatory personnel</t>
  </si>
  <si>
    <t>Regulatory compliance, Official comm., Reporting obligations</t>
  </si>
  <si>
    <t>Indefinite for ongoing ISMS/PIMS mgt. or 7yrs after cessation of ISMS/PIMS</t>
  </si>
  <si>
    <t>A017</t>
  </si>
  <si>
    <t>Shareholders/Investors</t>
  </si>
  <si>
    <t>People and organizations with vested interest in success of the company</t>
  </si>
  <si>
    <t>Shareholders, Investors, Financial contacts</t>
  </si>
  <si>
    <t>Shareholder relation, Investment Mgt., Financial reporting</t>
  </si>
  <si>
    <t>A018</t>
  </si>
  <si>
    <t>IT Department</t>
  </si>
  <si>
    <t>Adherance to policies and procedures when handling IT systems</t>
  </si>
  <si>
    <t>Partners, employees, subcontractors</t>
  </si>
  <si>
    <t>Internal documents, Project documentation</t>
  </si>
  <si>
    <t>A019</t>
  </si>
  <si>
    <t>Financial data</t>
  </si>
  <si>
    <t>Jake&amp;James Accounting s.r.o. (Pohoda software hosted on VSHosting s.r.o. servers, Prague, CZ)</t>
  </si>
  <si>
    <t>Processed by Jake&amp;James Accounting s.r.o. per DPA signed 1.3.2025. Vendor assessment completed. Pohoda software hosted on VSHosting s.r.o. data center (Prague, ISO 27001 certified). Daily backups, 99.5% availability.</t>
  </si>
  <si>
    <t>Vendors, Clients, Contractors, CEO</t>
  </si>
  <si>
    <t>Bookkeeping, Tax compliance, Payroll processing, Invoicing, Financial reporting</t>
  </si>
  <si>
    <t>7 years</t>
  </si>
  <si>
    <t>A020</t>
  </si>
  <si>
    <t>Private Information</t>
  </si>
  <si>
    <t>Public AI platforms</t>
  </si>
  <si>
    <t>Adherance to Privacy and Information Security Policyand Data Management Policy, and Remote Work and Device Security Policy</t>
  </si>
  <si>
    <t>Party</t>
  </si>
  <si>
    <t>Internal/External</t>
  </si>
  <si>
    <t>Compliance Requirements</t>
  </si>
  <si>
    <t>Responsibility</t>
  </si>
  <si>
    <t>External</t>
  </si>
  <si>
    <t>Contractual: Clauses in agreements with customers, vendors, or partners (external)</t>
  </si>
  <si>
    <t>Protection of confidential information (external)</t>
  </si>
  <si>
    <t>Vendors</t>
  </si>
  <si>
    <t>Vendor Security Manager</t>
  </si>
  <si>
    <t>Contractors/Suppliers</t>
  </si>
  <si>
    <t>Internal</t>
  </si>
  <si>
    <t>Internal policies and procedures (internal)</t>
  </si>
  <si>
    <t>Legal &amp; Regulatory: Data protection laws (e.g., GDPR) (external)</t>
  </si>
  <si>
    <t>Certifications: Maintaining ISO 27001 compliance, MS SSPA (external)</t>
  </si>
  <si>
    <t>Jurisdictional Laws: Czech and European laws (depending on where the company or its customers operate)  (external)</t>
  </si>
  <si>
    <t>Internal security controls and standards (internal)</t>
  </si>
  <si>
    <t>Internal audit findings (internal)</t>
  </si>
  <si>
    <t>Acceptable use policies (internal)</t>
  </si>
  <si>
    <t>Corporate governance and ethics guidelines (internal)</t>
  </si>
  <si>
    <r>
      <t>Legal &amp; Regulatory:</t>
    </r>
    <r>
      <rPr>
        <sz val="12"/>
        <color rgb="FF000000"/>
        <rFont val="Aptos"/>
      </rPr>
      <t> Data protection laws (e.g., GDPR) (external)</t>
    </r>
  </si>
  <si>
    <r>
      <t>Contractual:</t>
    </r>
    <r>
      <rPr>
        <sz val="12"/>
        <color rgb="FF000000"/>
        <rFont val="Aptos"/>
      </rPr>
      <t> Clauses in agreements with customers, vendors, or partners (external)</t>
    </r>
  </si>
  <si>
    <r>
      <t>Certifications:</t>
    </r>
    <r>
      <rPr>
        <sz val="12"/>
        <color rgb="FF000000"/>
        <rFont val="Aptos"/>
      </rPr>
      <t> Maintaining ISO 27001 compliance, MS SSPA (external)</t>
    </r>
  </si>
  <si>
    <r>
      <t>Jurisdictional Laws:</t>
    </r>
    <r>
      <rPr>
        <sz val="12"/>
        <color rgb="FF000000"/>
        <rFont val="Aptos"/>
      </rPr>
      <t> Czech and European laws (depending on where the company or its customers operate)  (external)</t>
    </r>
  </si>
  <si>
    <t>All inputs in this sheet are manually entered and in the following sheets selected from the corresponding lists.</t>
  </si>
  <si>
    <t>Asset Types</t>
  </si>
  <si>
    <t>Assets Register</t>
  </si>
  <si>
    <t>Threats</t>
  </si>
  <si>
    <t>Vulnerabilities</t>
  </si>
  <si>
    <t>Placeholder for future automation</t>
  </si>
  <si>
    <t>Risk likelihood</t>
  </si>
  <si>
    <t>Risk impact</t>
  </si>
  <si>
    <t>Data Classification</t>
  </si>
  <si>
    <t>Personal Data by Data Type</t>
  </si>
  <si>
    <t>Asset Value Table</t>
  </si>
  <si>
    <t>Unauthorized access to sensitive client information. (Client Data Contacts)</t>
  </si>
  <si>
    <t>Insufficient access control or authentication mechanisms. (Client Data Contacts)</t>
  </si>
  <si>
    <t>Ensure that data is protected from unauthorized access.</t>
  </si>
  <si>
    <t>Public</t>
  </si>
  <si>
    <t>Personally identifiable information</t>
  </si>
  <si>
    <t>Data breaches due to weak encryption or insecure storage. (Client Data Contacts)</t>
  </si>
  <si>
    <t>Lack of data encryption during transmission and storage. (Client Data Contacts)</t>
  </si>
  <si>
    <t>Data must be accurate and up-to-date.</t>
  </si>
  <si>
    <t>Internal Use Only</t>
  </si>
  <si>
    <t>Sensitive personally identifiable</t>
  </si>
  <si>
    <t>Partial or complete loss of asset has no impact on business.</t>
  </si>
  <si>
    <t>Partial or complete loss of asset has moderate impact on business.</t>
  </si>
  <si>
    <t>Partial or complete loss of asset has major on business.</t>
  </si>
  <si>
    <t>Insider threats from employees or contractors with access to client data. (Client Data Contacts)</t>
  </si>
  <si>
    <t>Inadequate training for staff handling client data. (Client Data Contacts)</t>
  </si>
  <si>
    <t>Ensure that data is readily available when needed for operational purposes.</t>
  </si>
  <si>
    <t>Confidential</t>
  </si>
  <si>
    <t>Personal (e.g. personal email)</t>
  </si>
  <si>
    <t>Social engineering attacks (eg, phishing targeting employees with access). (Client Data Contacts)</t>
  </si>
  <si>
    <t>Lack of regular audits or monitoring of access to client data. (Client Data Contacts)</t>
  </si>
  <si>
    <t>Implement strict access control and ensure that any third-party contractors handling data adhere to privacy standards.</t>
  </si>
  <si>
    <t>Restricted</t>
  </si>
  <si>
    <t>Personal health identifiable</t>
  </si>
  <si>
    <t>Compromise of virtual machines by external attackers. (Training VMs in Azure)</t>
  </si>
  <si>
    <t>Weak configurations or default settings in Azure VM deployment. (Training VMs in Azure)</t>
  </si>
  <si>
    <t>Secure the VMs against unauthorized access (e.g., by using multi-factor authentication).</t>
  </si>
  <si>
    <t>Linkable classification</t>
  </si>
  <si>
    <t>Data leakage or unauthorized access through misconfigured virtual networks. (Training VMs in Azure)</t>
  </si>
  <si>
    <t>Lack of updates or patches for operating systems and applications on VMs. (Training VMs in Azure)</t>
  </si>
  <si>
    <t>Regular backups of these VMs should be implemented to ensure the availability of the training environment.</t>
  </si>
  <si>
    <t>Leak of part or all information has no impact on business.</t>
  </si>
  <si>
    <t>Leak of part or all information has moderate impact on business.</t>
  </si>
  <si>
    <t>Leak of part or all information has major impact on business.</t>
  </si>
  <si>
    <t>Asset Owner</t>
  </si>
  <si>
    <t>Denial of Service (DoS) attacks that make the training environment unavailable. (Training VMs in Azure)</t>
  </si>
  <si>
    <t>Insecure access to the Azure portal, such as weak or reused passwords. (Training VMs in Azure)</t>
  </si>
  <si>
    <t>Limit user access to only those with a need to use the VMs.</t>
  </si>
  <si>
    <t>Malicious insiders using access for non-legitimate purposes. (Training VMs in Azure)</t>
  </si>
  <si>
    <t>Lack of multi-factor authentication (MFA) for accessing VMs. (Training VMs in Azure)</t>
  </si>
  <si>
    <t>Unauthorized access to confidential or proprietary project documentation. (Project Documentation)</t>
  </si>
  <si>
    <t>Lack of encryption or protection for sensitive project files. (Project Documentation)</t>
  </si>
  <si>
    <t>Keep documentation encrypted, version-controlled, and backed up.</t>
  </si>
  <si>
    <t>Accidental or deliberate modification of critical project data.  (Project Documentation)</t>
  </si>
  <si>
    <t>Inadequate access controls (e.g., wide access permissions or no role-based access). (Project Documentation)</t>
  </si>
  <si>
    <t>Limit access to authorized personnel.</t>
  </si>
  <si>
    <t>Loss of part or all information has no impact on business.</t>
  </si>
  <si>
    <t>Loss of part or all information has moderate impact on business.</t>
  </si>
  <si>
    <t>Loss of part or all information has major impact on business.</t>
  </si>
  <si>
    <t>Loss of project documentation due to insufficient backup procedures.  (Project Documentation)</t>
  </si>
  <si>
    <t>Absence of a proper document version control system. (Project Documentation)</t>
  </si>
  <si>
    <t>Ensure proper retention and destruction policies for project documentation.</t>
  </si>
  <si>
    <t>Data theft due to employees or contractors downloading sensitive data. (Project Documentation)</t>
  </si>
  <si>
    <t>Lack of data redundancy or backup policies. (Project Documentation)</t>
  </si>
  <si>
    <t>Loss or theft of laptops containing sensitive corporate data. (Personal laptops used for work purpose)</t>
  </si>
  <si>
    <t>Lack of encryption on personal laptops. (Personal laptops used for work purpose)</t>
  </si>
  <si>
    <t>Encrypt all data on the laptops to protect against data theft.</t>
  </si>
  <si>
    <t>Malware or ransomware infections compromising laptop security. (Personal laptops used for work purpose)</t>
  </si>
  <si>
    <t>Weak passwords or absence of multi-factor authentication. (Personal laptops used for work purpose)</t>
  </si>
  <si>
    <t>Require strong passwords and multi-factor authentication.</t>
  </si>
  <si>
    <t>&gt;24hrs</t>
  </si>
  <si>
    <t>1-24 hrs</t>
  </si>
  <si>
    <t>&lt; 1 hr</t>
  </si>
  <si>
    <t>Unauthorized access to corporate systems via unprotected laptops. (Personal laptops used for work purpose)</t>
  </si>
  <si>
    <t>Outdated or unpatched operating systems and software. (Personal laptops used for work purpose)</t>
  </si>
  <si>
    <t>Have the ability to remotely wipe laptops if they are lost or stolen.</t>
  </si>
  <si>
    <t>&gt; 5 business days</t>
  </si>
  <si>
    <t xml:space="preserve">&gt; 24hrs </t>
  </si>
  <si>
    <t>&lt; 24hrs</t>
  </si>
  <si>
    <t>Insider threat from employees misusing their devices or storing sensitive data insecurely. (Personal laptops used for work purpose)</t>
  </si>
  <si>
    <t>No remote wipe functionality in case of theft or loss. (Personal laptops used for work purpose)</t>
  </si>
  <si>
    <t>Ensure antivirus and endpoint protection is active on the laptops.</t>
  </si>
  <si>
    <t>Unauthorized distribution or leak of training content. (Training Materials)</t>
  </si>
  <si>
    <t>Lack of access controls (e.g., materials shared with unauthorized parties). (Training Materials)</t>
  </si>
  <si>
    <t>Limit access to authorized users to prevent unauthorized distribution.</t>
  </si>
  <si>
    <t>Theft of intellectual property from proprietary training materials. (Training Materials)</t>
  </si>
  <si>
    <t>Insufficient backup or version control for training documents. (Training Materials)</t>
  </si>
  <si>
    <t>Consider classifying materials as sensitive if they contain proprietary information.</t>
  </si>
  <si>
    <t>Roles / Risk Owners in the ISMS</t>
  </si>
  <si>
    <t>Loss of materials due to accidental deletion or system failure. (Training Materials)</t>
  </si>
  <si>
    <t>Failure to encrypt sensitive or proprietary training content. (Training Materials)</t>
  </si>
  <si>
    <t>Regular backups to prevent data loss.</t>
  </si>
  <si>
    <t>Inadequate monitoring of distribution channels for sensitive training materials. (Training Materials)</t>
  </si>
  <si>
    <t>Internal Process and Policy Documents</t>
  </si>
  <si>
    <t>Unauthorized access or modification of internal policies. (Internal Process and Policy Documents)</t>
  </si>
  <si>
    <t>Lack of document classification and handling guidelines. (Internal Process and Policy Documents)</t>
  </si>
  <si>
    <t>Accidental sharing of sensitive internal documents with unauthorized parties. (Internal Process and Policy Documents)</t>
  </si>
  <si>
    <t>Insecure storage (e.g., unprotected shared drives or cloud storage). (Internal Process and Policy Documents)</t>
  </si>
  <si>
    <t>Loss of critical documents due to system failure or data corruption. (Internal Process and Policy Documents)</t>
  </si>
  <si>
    <t>Weak or non-existent access controls to process and policy documents. (Internal Process and Policy Documents)</t>
  </si>
  <si>
    <t>Insufficient training for employees on handling sensitive internal documents. (Internal Process and Policy Documents)</t>
  </si>
  <si>
    <t>Security &amp; Incident Response Lead</t>
  </si>
  <si>
    <t>Data tampering or alteration of audit logs. (Internal Tracker and Audit Documents)</t>
  </si>
  <si>
    <t>Insufficient logging of critical security events. (Internal Tracker and Audit Documents)</t>
  </si>
  <si>
    <t>Unauthorized access to tracking systems leading to data leaks. (Internal Tracker and Audit Documents)</t>
  </si>
  <si>
    <t>Lack of encryption or access control to sensitive audit logs. (Internal Tracker and Audit Documents)</t>
  </si>
  <si>
    <t>All Employees and Partners</t>
  </si>
  <si>
    <t>Loss of critical audit data due to system outages or insufficient backups. (Internal Tracker and Audit Documents)</t>
  </si>
  <si>
    <t>Absence of regular review or monitoring of tracking and audit documents. (Internal Tracker and Audit Documents)</t>
  </si>
  <si>
    <t>Inadequate backup systems for audit logs or failure to store logs securely. (Internal Tracker and Audit Documents)</t>
  </si>
  <si>
    <t>Website defacement or data breaches via website vulnerabilities. (Company Website)</t>
  </si>
  <si>
    <t>Lack of website vulnerability scanning or patching. (Company Website)</t>
  </si>
  <si>
    <t>PIMS Manager</t>
  </si>
  <si>
    <t>Distributed Denial of Service (DDoS) attacks that make the website unavailable. (Company Website)</t>
  </si>
  <si>
    <t>Weak authentication for website management interfaces (e.g., admin panel). (Company Website)</t>
  </si>
  <si>
    <t>Privacy Officer</t>
  </si>
  <si>
    <t>Data theft through exploitation of unpatched website vulnerabilities. (Company Website)</t>
  </si>
  <si>
    <t>Insufficient web traffic monitoring or lack of DDoS protection. (Company Website)</t>
  </si>
  <si>
    <t>Phishing attacks through compromised website pages. (Company Website)</t>
  </si>
  <si>
    <t>Poorly implemented website security features (e.g., HTTP instead of HTTPS). (Company Website)</t>
  </si>
  <si>
    <t>Status of the change</t>
  </si>
  <si>
    <t>Unauthorized access or misuse of company resources by contractors. (Contractors)</t>
  </si>
  <si>
    <t>Lack of background checks or screening for contractors. (Contractors)</t>
  </si>
  <si>
    <t>In-progress</t>
  </si>
  <si>
    <t>Contractors exposing sensitive data to third parties unintentionally or maliciously. (Contractors)</t>
  </si>
  <si>
    <t>Inadequate access control or monitoring of contractor activities. (Contractors)</t>
  </si>
  <si>
    <t>Contractors engaging in fraud or other malicious activities. (Contractors)</t>
  </si>
  <si>
    <t>Failure to clearly define and enforce security policies for contractors. (Contractors)</t>
  </si>
  <si>
    <t>Insufficient training for contractors on company security procedures. No due diligence, no contracts with security clauses. (Contractors)</t>
  </si>
  <si>
    <t>Insider threats from employees misusing their access to company systems. (Employees)</t>
  </si>
  <si>
    <t>Lack of employee security awareness training. (Employees)</t>
  </si>
  <si>
    <t>Change Type</t>
  </si>
  <si>
    <t>Accidental data loss or disclosure due to human error. (Employees)</t>
  </si>
  <si>
    <t>Weak password policies or absence of multi-factor authentication. (Employees)</t>
  </si>
  <si>
    <t>Social engineering or phishing attacks targeting employees. (Employees)</t>
  </si>
  <si>
    <t>Failure to restrict access based on the principle of least privilege. (Employees)</t>
  </si>
  <si>
    <t>Policy</t>
  </si>
  <si>
    <t>No clear process for handling employee termination or role changes (e.g., access revocation). (Employees)</t>
  </si>
  <si>
    <t>IT Tools</t>
  </si>
  <si>
    <t>Loss or theft of mobile devices with sensitive company data. (Personal phones used for work purpose)</t>
  </si>
  <si>
    <t>Lack of encryption on work-related data stored on phones. (Personal phones used for work purpose)</t>
  </si>
  <si>
    <t>Training</t>
  </si>
  <si>
    <t>Malware infections on personal phones leading to data compromise. (Personal phones used for work purpose)</t>
  </si>
  <si>
    <t>Failure to implement a Mobile Device Management (MDM) solution. (Personal phones used for work purpose)</t>
  </si>
  <si>
    <t>Data leakage due to personal applications accessing work-related information. (Personal phones used for work purpose)</t>
  </si>
  <si>
    <t xml:space="preserve">Lack of remote wipe functionality for lost or stolen phones. (Personal phones used for work purpose)
</t>
  </si>
  <si>
    <t>Weak  or easily guessed passwords for mobile devices. (Personal phones used for work purpose)</t>
  </si>
  <si>
    <t>Change Priority</t>
  </si>
  <si>
    <t>Unauthorized access to the platform or its data. (Odoo Platform)</t>
  </si>
  <si>
    <t>Weak user access controls or misconfigured permissions. (Odoo Platform)</t>
  </si>
  <si>
    <t>Standard</t>
  </si>
  <si>
    <t>Data leakage or unauthorized modification of Odoo records. (Odoo Platform)</t>
  </si>
  <si>
    <t>Lack of encryption for data stored within the Odoo platform. (Odoo Platform)</t>
  </si>
  <si>
    <t>Emergency/Critical</t>
  </si>
  <si>
    <t>Insufficient monitoring of Odoo for suspicious activities or unauthorized access. (Odoo Platform)</t>
  </si>
  <si>
    <t>Unauthorized access to cloud resources via compromised credentials. (Azure Cloud Services)</t>
  </si>
  <si>
    <t>Weak or misconfigured identity and access management (IAM) policies. (Azure Cloud Services)</t>
  </si>
  <si>
    <t>Data leakage or unauthorized sharing of sensitive data stored in the cloud. (Azure Cloud Services)</t>
  </si>
  <si>
    <t>Insufficient monitoring of cloud services for unusual activities. (Azure Cloud Services)</t>
  </si>
  <si>
    <t>Change approval status</t>
  </si>
  <si>
    <t>Misconfiguration of cloud infrastructure leading to security gaps. (Azure Cloud Services)</t>
  </si>
  <si>
    <t>Lack of encryption for data stored in Azure. (Azure Cloud Services)</t>
  </si>
  <si>
    <t>CAB-approved</t>
  </si>
  <si>
    <t>Service disruptions or outages affecting business continuity. (Azure Cloud Services)</t>
  </si>
  <si>
    <t>Inadequate backup and disaster recovery procedures for cloud-based data. (Azure Cloud Services)</t>
  </si>
  <si>
    <t>CAB-preapproved</t>
  </si>
  <si>
    <t>Unauthorized access to company documents via compromised Microsoft 365 accounts. (Microsoft 365 &amp; SharePoint)</t>
  </si>
  <si>
    <t>Insufficient configuration or monitoring of sharing permissions. (Microsoft 365 &amp; SharePoint)</t>
  </si>
  <si>
    <t>CAB-under review</t>
  </si>
  <si>
    <t>Data leaks or breaches from improperly configured SharePoint sharing settings. (Microsoft 365 &amp; SharePoint)</t>
  </si>
  <si>
    <t>Lack of multi-factor authentication for accessing Microsoft 365. (Microsoft 365 &amp; SharePoint)</t>
  </si>
  <si>
    <t>CAB-denied</t>
  </si>
  <si>
    <t>Phishing or social engineering attacks targeting Microsoft 365 users. (Microsoft 365 &amp; SharePoint)</t>
  </si>
  <si>
    <t>Failure to monitor activity for suspicious behavior within SharePoint or Microsoft 365. (Microsoft 365 &amp; SharePoint)</t>
  </si>
  <si>
    <t>Absence of strong user authentication practices for accessing Microsoft 365 accounts. (Microsoft 365 &amp; SharePoint)</t>
  </si>
  <si>
    <t>Threats and deficiencies gathered using MS Defender so that identified vulnerabilities may be mitigated. (Microsoft 365 &amp; SharePoint, Azure and OneDrive)</t>
  </si>
  <si>
    <t>Latest updates and best practice not implemented per latest security vulnerabilities identified exposing to multiple threat vectors. (Microsoft 365 &amp; SharePoint, Azure and OneDrive)</t>
  </si>
  <si>
    <t>Periodically gathering Information about technical vulnerabilities  within MSFT 365, Azure, Sharepoint and OneDrive, in order to assess the organization's exposure to such vulnerabilities and take appropriate measures.</t>
  </si>
  <si>
    <t>Review outcome</t>
  </si>
  <si>
    <t>Non-compliance with GDPR, national and industry privacy legislation/requirements. (Regulators)</t>
  </si>
  <si>
    <t>Non-compiance may result in loss of reputation, loss of business and fines. (Regulators)</t>
  </si>
  <si>
    <t>Appoint Data Privacy Officer (DPO) / Data Protection and Risk Manager Officer, implement privacy policies.</t>
  </si>
  <si>
    <t>Implemented as planned</t>
  </si>
  <si>
    <t>Inadequate reporting to shareholders during a breach. (Shareholders/Investors)</t>
  </si>
  <si>
    <t>Inadequate reporting of breaches to shareholders may errode trust in management. (Shareholders/Investors)</t>
  </si>
  <si>
    <t>Create incident communication plan.</t>
  </si>
  <si>
    <t>Requires reassesment</t>
  </si>
  <si>
    <t>Misconfiguration of security tools. (IT Department)</t>
  </si>
  <si>
    <t>Exposure of information to third-party. (IT Department)</t>
  </si>
  <si>
    <t>Define and implement security configuration baseline, and perform audits.</t>
  </si>
  <si>
    <t>Not implemented</t>
  </si>
  <si>
    <t>Financial Data</t>
  </si>
  <si>
    <t>Misuse of private information available in financial data. (Management)</t>
  </si>
  <si>
    <t>Using private information of employees/contractors/clients/partners in AI tools. (Management)</t>
  </si>
  <si>
    <t>Private infomration exposed.</t>
  </si>
  <si>
    <t>International transfer of PII.</t>
  </si>
  <si>
    <t>PII is transfered to non-authorized countries/organizatoins.</t>
  </si>
  <si>
    <t>Appproval Status</t>
  </si>
  <si>
    <t xml:space="preserve">Under Mgmt Review </t>
  </si>
  <si>
    <t>Approved</t>
  </si>
  <si>
    <t>In Development</t>
  </si>
  <si>
    <t>Document Status</t>
  </si>
  <si>
    <t>Active</t>
  </si>
  <si>
    <t>Inactive</t>
  </si>
  <si>
    <t>Archived</t>
  </si>
  <si>
    <t>Risk Treatment Options</t>
  </si>
  <si>
    <t>Mitigate</t>
  </si>
  <si>
    <t>Accept</t>
  </si>
  <si>
    <t>List of company related personnel</t>
  </si>
  <si>
    <t>Email Data compromise</t>
  </si>
  <si>
    <t>Network Domain Security</t>
  </si>
  <si>
    <t>Cloud Sharing data leakage</t>
  </si>
  <si>
    <t>Azure Services Misconfiguration</t>
  </si>
  <si>
    <t>List and description of all the sheets in this documents</t>
  </si>
  <si>
    <t>Petra Ziva</t>
  </si>
  <si>
    <t>System failure - resulting in ability to do work</t>
  </si>
  <si>
    <t>Unpatched OS or SW</t>
  </si>
  <si>
    <t>TOC</t>
  </si>
  <si>
    <t>Physical theft leading to data breach</t>
  </si>
  <si>
    <t>Insufficiently granular Access Controls</t>
  </si>
  <si>
    <t>Change control information</t>
  </si>
  <si>
    <t>Matt Dillon</t>
  </si>
  <si>
    <t>Insecure Networks leading to man in the middle attacks</t>
  </si>
  <si>
    <t>Insufficient logging and monitoring</t>
  </si>
  <si>
    <t>Contains objectives from the ISMS scope document</t>
  </si>
  <si>
    <t>Yusuf Gyulhanov Yusufov</t>
  </si>
  <si>
    <t>Human Error</t>
  </si>
  <si>
    <t>Version Control</t>
  </si>
  <si>
    <t>Lists assets, their owners, value, importance for CIA</t>
  </si>
  <si>
    <t>Albert Zagrobskiy</t>
  </si>
  <si>
    <t>Regulatory compliance - sensitive data</t>
  </si>
  <si>
    <t>Backups</t>
  </si>
  <si>
    <t>Lists risks and risk score evaluation for each asset</t>
  </si>
  <si>
    <t>Haitham AbdelMoaty</t>
  </si>
  <si>
    <t>Data Leakage</t>
  </si>
  <si>
    <t>Security awareness - lack of training</t>
  </si>
  <si>
    <t xml:space="preserve">Risk Treatment Plan </t>
  </si>
  <si>
    <t>Kelly Houston</t>
  </si>
  <si>
    <t>Misconfiguration</t>
  </si>
  <si>
    <t>Unclear security policies</t>
  </si>
  <si>
    <t>Statement of Appicability</t>
  </si>
  <si>
    <t>Contains list of controls from Annex A of the ISO 27001:2022 and their applicability to our ISMS</t>
  </si>
  <si>
    <t>Confidentiality controls</t>
  </si>
  <si>
    <t>Asset ID is input manually and checked for validity against Asset Register - Risk ID is generated automatically and relevant asset name is propagated from Asset Register</t>
  </si>
  <si>
    <t>Data Integrity Issues</t>
  </si>
  <si>
    <t>Monitoring/Logging/Detection/Audit Trails</t>
  </si>
  <si>
    <t>Risk ID is entered manually and checked against Risk Register for validity, Asset ID is passed forward based on the mapping in Risk Register and the associated Asset name is also passed forward automatically</t>
  </si>
  <si>
    <t>Theft or Loss</t>
  </si>
  <si>
    <t>Third party access controls</t>
  </si>
  <si>
    <t xml:space="preserve">Incident Log </t>
  </si>
  <si>
    <t xml:space="preserve">Defines the approach, categorization and treatment methodology and priority based on risk score - </t>
  </si>
  <si>
    <t>Malware and Ransomware</t>
  </si>
  <si>
    <t>Web server configuration</t>
  </si>
  <si>
    <t>The impacted Asset ID should be entered first - this is checked and validated against the Asset Register and the incident ID is then generated automatically and the asset name is propagated from the Asset Register</t>
  </si>
  <si>
    <t>Unauthorized Access</t>
  </si>
  <si>
    <t>Weak Input Validation</t>
  </si>
  <si>
    <t>Intelectual Property Theft</t>
  </si>
  <si>
    <t>Insufficient Training</t>
  </si>
  <si>
    <t>Leaks or Disclosure</t>
  </si>
  <si>
    <t>Poor Data Encryption</t>
  </si>
  <si>
    <t>Unauthorized Distribution</t>
  </si>
  <si>
    <t>Lack of Data Classification</t>
  </si>
  <si>
    <t>Operational Disruption</t>
  </si>
  <si>
    <t>Inconsistent Data Retention Policies</t>
  </si>
  <si>
    <t>Web Application Vulnerabilities</t>
  </si>
  <si>
    <t>Insecure Network Configuration</t>
  </si>
  <si>
    <t>Social Engineering Attacks</t>
  </si>
  <si>
    <t>Lack of Patch Management</t>
  </si>
  <si>
    <t>Third-Party Security Breaches</t>
  </si>
  <si>
    <t>Inadequate Monitoring and Logging</t>
  </si>
  <si>
    <t>Weak Authentication</t>
  </si>
  <si>
    <t>Lack of Version Control</t>
  </si>
  <si>
    <t>Poor Access Control</t>
  </si>
  <si>
    <t>Ineadequate Backup Procedures</t>
  </si>
  <si>
    <t>Lack of Encryption</t>
  </si>
  <si>
    <t>Unencrypted devices</t>
  </si>
  <si>
    <t>Lack of Remote Wipe Capability</t>
  </si>
  <si>
    <t>Weak Password Policies</t>
  </si>
  <si>
    <t>Lack of Acces Control</t>
  </si>
  <si>
    <t>Poor Intellectual Property Protection</t>
  </si>
  <si>
    <t>Inadequate Encryption</t>
  </si>
  <si>
    <t>Lack of Document Management System</t>
  </si>
  <si>
    <t>Insufficient Accesss Control Mechanisms</t>
  </si>
  <si>
    <t>Poor Data Backup</t>
  </si>
  <si>
    <t>Inadequate Version Control</t>
  </si>
  <si>
    <t>Outdated Software</t>
  </si>
  <si>
    <t>Inadequate Input Validation</t>
  </si>
  <si>
    <t>Inadequate Onboarding/Offboarding Processes</t>
  </si>
  <si>
    <t>Lack of Background Checks</t>
  </si>
  <si>
    <t>Poor Communication Protocols</t>
  </si>
  <si>
    <t>Weak Passwords</t>
  </si>
  <si>
    <t>Lack of Security Training</t>
  </si>
  <si>
    <t>No Mobile Device Management</t>
  </si>
  <si>
    <t>Insecure Apps or Downloads</t>
  </si>
  <si>
    <t>part of DOC005</t>
  </si>
  <si>
    <t>REVISION HISTORY:</t>
  </si>
  <si>
    <t>Control ID</t>
  </si>
  <si>
    <t>Control Title</t>
  </si>
  <si>
    <t>Applicable</t>
  </si>
  <si>
    <t>Status</t>
  </si>
  <si>
    <t>Justification</t>
  </si>
  <si>
    <t>Notes</t>
  </si>
  <si>
    <t>Linked Policies/Processes</t>
  </si>
  <si>
    <t>Organizational Controls</t>
  </si>
  <si>
    <t>Description</t>
  </si>
  <si>
    <t>(Inclusion/Exclusion)</t>
  </si>
  <si>
    <t>5.1 Policies for information security</t>
  </si>
  <si>
    <t>Information security policy and topic-specific policies shall be defined, approved by management, published, communicated to and acknowledged by relevant personnel and relevant interested parties,and reviewed at planned intervals and if significant changes occur.</t>
  </si>
  <si>
    <t>Implemented</t>
  </si>
  <si>
    <t>Policy framework implemented via Information Security &amp; Data Management Policy with supporting specialized policies. Management approval and review processes established.</t>
  </si>
  <si>
    <t xml:space="preserve">PIMS </t>
  </si>
  <si>
    <t>Information Security and Data Management Policy</t>
  </si>
  <si>
    <t>5.2 Information security roles and responsibilities</t>
  </si>
  <si>
    <t>Information security roles and responsibilities shall be defined and allocated according to the organization needs.</t>
  </si>
  <si>
    <t>Defines security responsibilities in relevant policy documents</t>
  </si>
  <si>
    <t>PIMS</t>
  </si>
  <si>
    <t>5.3 Segregation of duties</t>
  </si>
  <si>
    <t>Conflicting duties and conflicting areas of responsibility shall be segregated.</t>
  </si>
  <si>
    <t>Critical ISMS and PIMS functions divided among different roles to reduce unauthorized activities and errors. Privacy-specific segregation includes separate roles for PIMS management, compliance monitoring, incident response, and audit functions per defined role structure in Information Security &amp; Data Management Policy.</t>
  </si>
  <si>
    <t>5.4 Management responsibilities</t>
  </si>
  <si>
    <t>Management shall require all personnel to apply information security in accordance with the established information security policy, topic-specific policies and procedures of the organization.</t>
  </si>
  <si>
    <t>Management structure and responsibilities defined per Information Security &amp; Data Management Policy (DOC003). Regular management reviews and non-compliance tracking implemented.</t>
  </si>
  <si>
    <t>5.5 Contact with authorities</t>
  </si>
  <si>
    <t>The organization shall establish and maintain contact with relevant authorities.</t>
  </si>
  <si>
    <t>Contact with relevant authorities maintained including data protection and cybersecurity authorities per Legal Register. Communication channels established for compliance and incident reporting requirements.</t>
  </si>
  <si>
    <t>Legal and Regul. Compl. Register sheet</t>
  </si>
  <si>
    <t>Legal Framework Mapping</t>
  </si>
  <si>
    <t>5.6 Contact with special interest groups</t>
  </si>
  <si>
    <t>The organization shall establish and maintain contact with special interest groups or other specialist security forums and professional associations.</t>
  </si>
  <si>
    <t>Engagement with special interest groups per documented process including security organizations (OWASP, ISACA), threat intelligence forums (ENISA, FIRST), and privacy professional associations. Assigned representatives monitor developments and share insights internally for ISMS and PIMS improvements.</t>
  </si>
  <si>
    <t>Information Security and Data Management Process</t>
  </si>
  <si>
    <t>Spec Int Engagement log sheet</t>
  </si>
  <si>
    <t>5.7 Threat intelligence</t>
  </si>
  <si>
    <t>Information relating to information security threats shall be collected and analysed to produce threat intelligence.</t>
  </si>
  <si>
    <t>Threat intelligence program implemented per documented process collecting information from industry sources (ENISA, NIST, OWASP), Microsoft platforms (Azure, M365), vulnerability databases, and regulatory updates. Privacy-specific intelligence includes GDPR enforcement trends and data protection guidance. Quarterly analysis and response protocols established.</t>
  </si>
  <si>
    <t>Information security and Data Management Policy</t>
  </si>
  <si>
    <t>Spec Int Engagemenet log sheet</t>
  </si>
  <si>
    <t>5.8 Information security in project management</t>
  </si>
  <si>
    <t>Information security shall be integrated into project management.</t>
  </si>
  <si>
    <t>Information security and privacy requirements embedded in operations and apply to all projects by default. Project teams consult the ISMS Manager for guidance when involving sensitive data, personal data processing, systems, or third-party integrations. This ensures relevant security and privacy controls are applied including privacy by design principles and DPIA requirements where applicable.</t>
  </si>
  <si>
    <t>5.9 Inventory of information and other associated assets</t>
  </si>
  <si>
    <t>An inventory of information and other associated assets, including
owners, shall be developed and maintained.</t>
  </si>
  <si>
    <t>We maintain a centralized Asset Register that includes all information assets. including privacy columns for PII identification, data subject categories, and retention schedules.</t>
  </si>
  <si>
    <t>5.10</t>
  </si>
  <si>
    <t>5.10 Acceptable use of information and other associated assets</t>
  </si>
  <si>
    <t>Rules for the acceptable use and procedures for handling information and other associated assets shall be identified, documented and implemented.</t>
  </si>
  <si>
    <t>Acceptable use framework implemented covering business-only use of company resources, mandatory cloud storage (Azure/M365), BYOD security requirements, and prohibition of unauthorized software. Media handling restrictions prevent PII exposure. Annual training and usage monitoring ensure compliance per Information Security &amp; Data Management Policy.</t>
  </si>
  <si>
    <t>5.11 Return of assets</t>
  </si>
  <si>
    <t>Personnel and other interested parties as appropriate shall return all the organization's assets in their possession upon change or termination of their employment, contract or agreement.</t>
  </si>
  <si>
    <t>No physical assets distributed due to cloud-based operations and BYOD approach. Digital asset return (credentials, documents, data deletion from personal devices) covered in employee NDAs per termination procedures.</t>
  </si>
  <si>
    <t>Confidentiality and NDA Policy</t>
  </si>
  <si>
    <t>Confidentiality and Data Protection Agreement</t>
  </si>
  <si>
    <t>5.12 Classification of information</t>
  </si>
  <si>
    <t>Information shall be classified according to the information security needs of the organization based on confidentiality, integrity, availability and relevant interested party requirements.</t>
  </si>
  <si>
    <t>Policy and related training is developed. ith PII classification framework including "Contains PII" flags and Basic/Full PII categories.</t>
  </si>
  <si>
    <t>Information Security and data Management Process</t>
  </si>
  <si>
    <t>5.13 Labelling of information</t>
  </si>
  <si>
    <t>An appropriate set of procedures for information labelling shall be developed and implemented in accordance with the information classification scheme adopted by the organization.</t>
  </si>
  <si>
    <t>Information labelling is enforced through custom Sensitivity Labels.. These tools classify and label data based on predefined security policies. Additional "Contains PII" labelling mandatory in document footers regardless of classification level per Information Security and Data Management Process to ensure GDPR compliance.</t>
  </si>
  <si>
    <t>5.14 Information transfer</t>
  </si>
  <si>
    <t>Information transfer rules, procedures, or agreements shall be in place for all types of transfer facilities within the organization and between the organization and other parties.</t>
  </si>
  <si>
    <t>We defined policies and practices to protect the secure transfer of information. All data transfers follow the organization’s classification and encryption rules. External sharing is restricted to authorized platforms (Azure, Microsoft 365) and governed by compliance frameworks (SSPA, GDPR). Transfers involving third parties are covered by agreements and security assessments. PII transfers require additional encryption and data processing agreements (DPAs) per GDPR Article 28.</t>
  </si>
  <si>
    <t>NDA</t>
  </si>
  <si>
    <t>DPA Template LIght</t>
  </si>
  <si>
    <t>DPA Template Enhanced</t>
  </si>
  <si>
    <t>5.15 Access control</t>
  </si>
  <si>
    <t>Rules to control physical and logical access to information and other associated assets shall be established and implemented based on business and information security requirements.</t>
  </si>
  <si>
    <t>Ensures least privilege accesswith PII-specific dual approval workflow, quarterly reviews, and enhanced access logging per Access Control Policy.</t>
  </si>
  <si>
    <t>5.16 Identity management</t>
  </si>
  <si>
    <t>The full life cycle of identities shall be managed.</t>
  </si>
  <si>
    <t>Identity management is handled using standard tools in Microsoft 365 and Azure, including Role-Based Access Control (RBAC). The full lifecycle of identities — from creation to modification and deactivation — is managed through these platforms. Access is granted based on user roles and reviewed periodically. Identities are disabled or removed promptly when no longer required.</t>
  </si>
  <si>
    <t>5.17 Authentication information</t>
  </si>
  <si>
    <t>Allocation and management of authentication information shall be controlled by a management process, including advising personnel on appropriate handling of authentication information.</t>
  </si>
  <si>
    <t>Authentication information is managed through Microsoft 365 and Azure identity services, with controls such as Multi-Factor Authentication (MFA), strong password policies, and automated account protection. The creation, distribution, and revocation of credentials are handled through these platforms. Employees are advised on proper handling of authentication data during onboarding and annual security awareness training.</t>
  </si>
  <si>
    <t>5.18 Access rights</t>
  </si>
  <si>
    <t>Access rights to information and other associated assets shall be provisioned, reviewed, modified and removed in accordance with the organization's topic-specific policy on and rules for access control.</t>
  </si>
  <si>
    <t>Access rights managed through Microsoft 365/Azure RBAC aligned with data classification levels (Public, Internal, Confidential, Restricted). Role-based permissions enforce least privilege principle. Access rights reviewed periodically per Access Review Log and tracked in Access Register. Document labeling in SharePoint supports automated access control enforcement.</t>
  </si>
  <si>
    <t>5.19 Information security in supplier relationships</t>
  </si>
  <si>
    <t>Processes and procedures shall be defined and implemented to manage the information security risks associated with the use of supplier's products or services.</t>
  </si>
  <si>
    <t xml:space="preserve">We assess and monitor suppliers and vendors for information security risks as defined in our Supplier Vendor Security Policy and Process. Security clauses and NDAs are included in contracts, and ongoing compliance is ensured through periodic reviews and audits.Enhanced privacy assessments conducted for vendors processing PII with mandatory DPAs per Vendor Security Assessment Report </t>
  </si>
  <si>
    <t>Supplier and Vendor Security Policy</t>
  </si>
  <si>
    <t>Supplier and Vendor Security Process</t>
  </si>
  <si>
    <t>Vendor Security Assessment Report</t>
  </si>
  <si>
    <t>Enhanced DPA</t>
  </si>
  <si>
    <t>Lighter DPA</t>
  </si>
  <si>
    <t>5.20</t>
  </si>
  <si>
    <t>5.20 Addressing information security within supplier agreements</t>
  </si>
  <si>
    <t>Relevant information security requirements shall be established and agreed with each supplier based on the type of supplier relationship.</t>
  </si>
  <si>
    <t>Following SSPA recommendations of Microsoft and covering through NDAs with contractors Data Processing Agreements (DPAs) implemented for all suppliers processing PII per GDPR Article 28, with enhanced privacy clauses including breach notification, data subject rights support, and international transfer safeguards per Supplier &amp; Vendor Security Policy.</t>
  </si>
  <si>
    <t>MSFT Supplier Data Protection Requirements</t>
  </si>
  <si>
    <t>Contractor Agreement Template</t>
  </si>
  <si>
    <t>Contractor NDA Template</t>
  </si>
  <si>
    <t>5.21 Managing information security in the ICT supply chain</t>
  </si>
  <si>
    <t>Processes and procedures shall be defined and implemented to manage the information security risks associated with the ICT products and services supply chain.</t>
  </si>
  <si>
    <t xml:space="preserve"> ICT suppliers are evaluated and monitored for information security risks including software, hardware, and cloud service vulnerabilities. These risks are managed through assessments, contracts, and periodic reviews as defined in internal policies and procedures.Enhanced due diligence conducted for ICT suppliers processing PII, including sub-processor privacy assessments, international transfer evaluations, and privacy-by-design implementation verification per Vendor Security Assessment Report sections F and G.</t>
  </si>
  <si>
    <t>5.22 Monitoring, review and change management of supplier services</t>
  </si>
  <si>
    <t>The organization shall regularly monitor, review, evaluate and manage change in supplier information security practices and service delivery.</t>
  </si>
  <si>
    <t>Changes to supplier services are reviewed for security impacts. Re-assessments are conducted and documented when service scope, systems, or security controls change.Privacy impact assessments conducted for changes affecting PII processing, including DPA updates, data flow modifications, and new sub-processor arrangements. Change management includes data protection impact evaluation per Supplier &amp; Vendor Security Process.</t>
  </si>
  <si>
    <t>Third Party Vendor Risk sheet</t>
  </si>
  <si>
    <t>Change Management Log sheet</t>
  </si>
  <si>
    <t>Third Party Questionnaire</t>
  </si>
  <si>
    <t>5.23 Information security for use of cloud services</t>
  </si>
  <si>
    <t>Processes for acquisition, use, management and exit from cloud services shall be established in accordance with the organization's information security requirements.</t>
  </si>
  <si>
    <t>We use cloud services (e.g., Microsoft 365, Azure) for core operations. Policy clause 3.12 ensures secure acquisition, use, and termination through risk assessments, provider due diligence, access controls, monitoring, and secure offboarding. This control is essential to protect data and ensure compliance with security requirements.Enhanced due diligence includes GDPR compliance verification, data residency requirements, and privacy impact assessments for cloud services processing PII per Cloud Services Lifecycle procedures.</t>
  </si>
  <si>
    <t>5.24 Information security incident management planning and preparation</t>
  </si>
  <si>
    <t>The organization shall plan and prepare for managing information security incidents by defining, establishing and communicating information security incident management processes, roles and responsibilities.</t>
  </si>
  <si>
    <t xml:space="preserve">We have established information security policy and procedures including incident management and related roles and responsibilities per the ISMS scope. Enhanced procedures include GDPR breach notification requirements (72 hours to supervisory authority), data subject notification processes, and privacy incident classification per Information Security Policy </t>
  </si>
  <si>
    <t>Incident Log sheet</t>
  </si>
  <si>
    <t>5.25 Assessment and decision on information security events</t>
  </si>
  <si>
    <t>The organization shall assess information security events and decide if they are to be categorized as information security incidents.</t>
  </si>
  <si>
    <t>Security events are assessed systematically as part of risk assessment, treatment and gap analysis. For events involving personal data (PII), the assessment also determines whether they constitute a personal data breach under GDPR/ISO 27701. All such events are logged, reviewed by the Data Protection &amp; Risk Manager (DPO role), and decisions are documented in line with the Incident and Breach Management Procedure.</t>
  </si>
  <si>
    <t>Risk Assessment and Treatment Procedure</t>
  </si>
  <si>
    <t>5.26 Response to information security incidents</t>
  </si>
  <si>
    <t>Information security incidents shall be responded to in accordance with the documented procedures.</t>
  </si>
  <si>
    <t>Policy and procedure as well as logs are implemented Response includes containment, investigation, remediation, and documentation. For incidents involving personal data (PII), GDPR/ISO 27701 requirements are applied, including assessment of notification to supervisory authority and data subjects. Evidence maintained in the Incident Log Register.</t>
  </si>
  <si>
    <t>5.27 Learning from information security incidents</t>
  </si>
  <si>
    <t>Knowledge gained from information security incidents shall be used to strengthen and improve the information security controls.</t>
  </si>
  <si>
    <t>Regular review are documented with any follow up actions tracked and documented. Where incidents involve personal data (PII), lessons learned also address GDPR/ISO 27701 compliance, including breach notification processes, privacy by design measures, and updates to RoPA/DPIA or vendor assessments where required.</t>
  </si>
  <si>
    <t>5.28 Collection of evidence</t>
  </si>
  <si>
    <t>The organization shall establish and implement procedures for the identification, collection, acquisition and preservation of evidence related to information security events.</t>
  </si>
  <si>
    <t>Evidence related to information security events is identified, collected, and preserved using our Incident Log, Audit Log, and Monitoring Log. Evidence includes system logs, user actions, and access records. Microsoft 365 audit logs tools are used where applicable. Chain of custody is maintained through documented collection and transfer procedures to ensure evidence integrity.</t>
  </si>
  <si>
    <t>5.29 Information security during disruption</t>
  </si>
  <si>
    <t>The organization shall plan how to maintain information security at an appropriate level during disruption.</t>
  </si>
  <si>
    <t>Information security controls remain in place during disruptions through our Business Continuity and Disaster Recovery Plan. Security measures include encrypted data exports (AES-256), maintained access controls via cloud providers, and GDPR/privacy compliance procedures during recovery operations.</t>
  </si>
  <si>
    <t>Backup and Recovery Plan and Process</t>
  </si>
  <si>
    <t>Business Continuity and DR Plan</t>
  </si>
  <si>
    <t>5.30</t>
  </si>
  <si>
    <t>5.30 ICT readiness for business continuity</t>
  </si>
  <si>
    <t>ICT readiness shall be planned, implemented, maintained and tested based on business continuity objectives and ICT continuity requirements.</t>
  </si>
  <si>
    <t>ICT readiness maintained through Microsoft Azure and 365 redundancy, supported by documented Business Impact Assessment with defined RTO/RPO objectives. Quarterly tabletop exercises and annual testing validate recovery procedures and system dependencies.</t>
  </si>
  <si>
    <t>5.31 Legal, statutory, regulatory and contractual requirements</t>
  </si>
  <si>
    <t>Legal, statutory, regulatory and contractual requirements relevant to information security and the organization's approach to meet these requirements shall be identified, documented and kept up to date.</t>
  </si>
  <si>
    <t>Legal and regulatory requirements are maintained in Legal &amp; Regulatory Compliance Register, including GDPR, Czech privacy laws, cybersecurity obligations, contractual requirements, NDAs, ISO 27001, and MSFT SSPA. Regular reviews ensure ongoing compliance with evolving regulatory landscape.</t>
  </si>
  <si>
    <t>5.32 Intellectual property rights</t>
  </si>
  <si>
    <t>The organization shall implement appropriate procedures to protect intellectual property rights.</t>
  </si>
  <si>
    <t>Protecting intellectual property ensures legal compliance and prevents unauthorized use of copyrighted, patented, or licensed materials. It also safeguards the organization’s own creations and supports business integrity.</t>
  </si>
  <si>
    <t>Contractor Agreement</t>
  </si>
  <si>
    <t>5.33 Protection of records</t>
  </si>
  <si>
    <t>Records shall be protected from loss, destruction, falsification, unauthorized access and unauthorized release.</t>
  </si>
  <si>
    <t>Relying on MSFT Azure, 365 and RBAC implementation with document access controls and labeling.</t>
  </si>
  <si>
    <t>Managed through MSFT 365 and Azure</t>
  </si>
  <si>
    <t>5.34 Privacy and protection of PII</t>
  </si>
  <si>
    <t>The organization shall identify and meet the requirements regarding the preservation of privacy and protection of PII according to applicable laws and regulations and contractual requirements.</t>
  </si>
  <si>
    <t>Policy and procedures as well as relevant training will be implemented. PIMS framework covers data subject rights, consent management, RoPA documentation, processor agreements, and PII-specific technical controls per ISO 27701</t>
  </si>
  <si>
    <t>5.35 Independent review of information security</t>
  </si>
  <si>
    <t>The organization's approach to managing information security and its implementation including people, processes and technologies shall be reviewed independently at planned intervals, or when significant changes occur.</t>
  </si>
  <si>
    <t>Independent review program implemented through annual external audits and internal audit activities. Review processes documented and tracked in Audit Log and External Audit Log.</t>
  </si>
  <si>
    <t>5.35 Compliance with policies, rules and standards for information security</t>
  </si>
  <si>
    <t>Compliance with the organization's information security policy, topic-specific policies, rules and standards shall be regularly reviewed.</t>
  </si>
  <si>
    <t>Compliance monitoring implemented through regular training programs, management reviews, and systematic compliance tracking via Training &amp; Awareness Records and NonConformity Action Tracker. Quarterly Security Reviews assess policy adherence including dedicated PIMS/Privacy Compliance section monitoring GDPR incidents, data subject requests, privacy policy currency, cross-border transfers, and DPIA updates.</t>
  </si>
  <si>
    <t>Audit Log sheet</t>
  </si>
  <si>
    <t>Training and Awarness Record sheet</t>
  </si>
  <si>
    <t>Document Cont. Reg- sheet (policy review records)</t>
  </si>
  <si>
    <t>5.37 Documented operating procedures</t>
  </si>
  <si>
    <t>Operating procedures for information processing facilities shall be documented and made available to personnel who need them.</t>
  </si>
  <si>
    <t>Policies and process documents including privacy procedures are available and accessible on SharePoint with role-based access controls. Employees are informed about document location, classification, and access requirements through onboarding and regular training. Document control register maintains oversight of procedure updates and access.</t>
  </si>
  <si>
    <t>People Controls</t>
  </si>
  <si>
    <t>6.1 Screening</t>
  </si>
  <si>
    <t>Background verification checks on all candidates to become personnel shall be carried out prior to joining the organization and on an ongoing basis taking into consideration applicable laws, regulations and ethics and be proportional to the business  equirements, the classification of the information to be accessed and the perceived risks.</t>
  </si>
  <si>
    <t>We conduct background checks to ensure candidates for sensitive roles are trustworthy and qualified. This helps prevent security risks and protects sensitive information.</t>
  </si>
  <si>
    <t>HR Security Policy</t>
  </si>
  <si>
    <t>6.2 Terms and conditions of employment</t>
  </si>
  <si>
    <t>The employment contractual agreements shall state the personnel's and the organization's responsibilities for information security.</t>
  </si>
  <si>
    <t>Information security and privacy responsibilities defined in employee NDAs covering confidentiality, data protection compliance, security obligations, and incident reporting requirements. Disciplinary processes established for policy violations per HR Security Policy. Ongoing training and awareness obligations included in employment terms.</t>
  </si>
  <si>
    <t>ISMS Policy and Process Documents Acknowledgement</t>
  </si>
  <si>
    <t>Confidentiality and data protection agreement</t>
  </si>
  <si>
    <t>6.3 Information security awareness, education and training</t>
  </si>
  <si>
    <t>Personnel of the organization and relevant interested parties shall receive appropriate information security awareness, education and training and regular updates of the organization's information security policy, topic-specific policies and procedures, as relevant for their job function.</t>
  </si>
  <si>
    <t>Regular self paced training implemented and tracked</t>
  </si>
  <si>
    <t>IS Policy and Process Documents Acknowledgment</t>
  </si>
  <si>
    <t>6.4 Disciplinary process</t>
  </si>
  <si>
    <t>A disciplinary process shall be formalized and communicated to take actions against personnel and other relevant interested parties who have committed an information security policy violation.</t>
  </si>
  <si>
    <t>A formal disciplinary process is in place for violations of information security policies, aligned with Czech labor law and internal HR procedures. It is communicated to all staff and supports enforcement of ISMS rules.</t>
  </si>
  <si>
    <t>New Employee Onboarding  Guide</t>
  </si>
  <si>
    <t>6.5 Responsibilities after termination or change of employment</t>
  </si>
  <si>
    <t>Information security responsibilities and duties that remain valid after termination or change of employment shall be defined, enforced and communicated to relevant personnel and other interested parties.</t>
  </si>
  <si>
    <t>Post-employment responsibilities defined in employee NDAs including 24-month confidentiality obligations, return of all company assets and information, secure deletion of data from personal devices, and continuing data protection compliance obligations. Access revocation and asset return procedures established for termination scenarios.</t>
  </si>
  <si>
    <t>Employee NDA</t>
  </si>
  <si>
    <t>6.6 Confidentiality or non-disclosure agreements</t>
  </si>
  <si>
    <t>Confidentiality or non-disclosure agreements reflecting the organization's needs for the protection of information shall be identified, documented, regularly reviewed and signed by personnel and other relevant interested parties.</t>
  </si>
  <si>
    <t>Communicated as part of NDA. NDAs include specific confidentiality obligations for personal data processing and GDPR compliance requirements for all staff and third parties accessing PII.</t>
  </si>
  <si>
    <t>6.7 Remote working</t>
  </si>
  <si>
    <t>Security measures shall be implemented when personnel are working remotely to protect information accessed, processed or stored outside the organization's premises.</t>
  </si>
  <si>
    <t>RBAC and documentation accesss controls and labeling are implemented in Azure and MSFT 365 Enhanced cryptography requirements for PII processing during remote work implemented per Remote Work Policy, including mandatory encryption for all personal data access and transmission</t>
  </si>
  <si>
    <t>Access management Process</t>
  </si>
  <si>
    <t>6.8 Information security event reporting</t>
  </si>
  <si>
    <t>The organization shall provide a mechanism for personnel to report observed or suspected information security events through appropriate channels in a timely manner.</t>
  </si>
  <si>
    <t>A simple and accessible reporting process via email, Teams, and phone ensures personnel can promptly report security events. This enables timely response and supports ISMS effectiveness, even in a small-team environment.</t>
  </si>
  <si>
    <t>Physical Controls</t>
  </si>
  <si>
    <t>7.1 Physical security perimeters</t>
  </si>
  <si>
    <t>Security perimeters shall be defined and used to protect areas that contain information and other associated assets.</t>
  </si>
  <si>
    <t>Not per ISMS Scope as no physical assets exist</t>
  </si>
  <si>
    <t>7.2 Physical entry</t>
  </si>
  <si>
    <t>Secure areas shall be protected by appropriate entry controls and access points.</t>
  </si>
  <si>
    <t>7.3 Securing offices, rooms and facilities</t>
  </si>
  <si>
    <t>Physical security for offices, rooms and facilities shall be designed and implemented.</t>
  </si>
  <si>
    <t>7.4 Physical security monitoring</t>
  </si>
  <si>
    <t>Premises shall be continuously monitored for unauthorized physical access.</t>
  </si>
  <si>
    <t>7.5 Protecting against physical and environmental threats</t>
  </si>
  <si>
    <t>Protection against physical and environmental threats, such as natural disasters and other intentional or unintentional physical threats to infrastructure shall be designed and implemented.</t>
  </si>
  <si>
    <t>7.6 Working in secure areas</t>
  </si>
  <si>
    <t>Security measures for working in secure areas shall be designed and implemented.</t>
  </si>
  <si>
    <t>7.7 Clear desk and clear screen</t>
  </si>
  <si>
    <t>Clear desk rules for papers and removable storage media and clear screen rules for information processing facilities shall be defined and appropriately enforced.</t>
  </si>
  <si>
    <t>Clear desk and screen rules are enforced for remote work. Employees are required to lock devices, secure sensitive data, and avoid exposure in shared spaces, reducing the risk of unauthorized access.</t>
  </si>
  <si>
    <t>7.8 Equipment siting and protection</t>
  </si>
  <si>
    <t>Equipment shall be sited securely and protected.</t>
  </si>
  <si>
    <t>7.9 Security of assets off-premises</t>
  </si>
  <si>
    <t>Off-site assets shall be protected.</t>
  </si>
  <si>
    <t>All staff use personal devices. Security requirements for off-site assets are enforced through BYOD rules including encryption, password protection, and use of approved cloud storage. This ensures protection of organizational data outside company premises.</t>
  </si>
  <si>
    <t>7.10</t>
  </si>
  <si>
    <t>7.10 Storage media</t>
  </si>
  <si>
    <t>Storage media shall be managed through their life cycle of acquisition, use, transportation and disposal in accordance with the organization's classification scheme and handling requirements.</t>
  </si>
  <si>
    <t>All documents and work to be done in Azure and MSFT 365, policy to state that no documents to be store on private laptops etc.</t>
  </si>
  <si>
    <t>7.11 Supporting utilities</t>
  </si>
  <si>
    <t>Information processing facilities shall be protected from power failures and other disruptions caused by failures in supporting utilities.</t>
  </si>
  <si>
    <t>7.12 Cabling security</t>
  </si>
  <si>
    <t>Cables carrying power, data or supporting information services shall be protected from interception, interference or damage.</t>
  </si>
  <si>
    <t>7.13 Equipment maintenance</t>
  </si>
  <si>
    <t>Equipment shall be maintained correctly to ensure availability, integrity and confidentiality of information.</t>
  </si>
  <si>
    <t>BYOD environment requires comprehensive device maintenance including security updates, antivirus protection, device encryption, and physical security. Enhanced requirements apply to devices processing personal data, including mandatory full disk encryption per Remote Work and Device Security Policy. Employee responsibility framework ensures ongoing protection of organizational and personal data.</t>
  </si>
  <si>
    <t>7.14 Secure disposal or re-use of equipment</t>
  </si>
  <si>
    <t>Items of equipment containing storage media shall be verified to ensure that any sensitive data and licensed software has been removed or securely overwritten prior to disposal or re-use.</t>
  </si>
  <si>
    <t>BYOD environment requires comprehensive secure disposal procedures including data backup verification, multiple technical deletion methods (secure erase tools, drive formatting, partition removal), and mandatory verification process. Employee confirmation and ISMS Manager notification ensure complete removal of organizational and personal data with audit documentation per Remote Work and Device Security Policy.</t>
  </si>
  <si>
    <t>Technological Controls</t>
  </si>
  <si>
    <t>8.1 User endpoint devices</t>
  </si>
  <si>
    <t>Information stored on, processed by or accessible via user end point devices shall be protected.</t>
  </si>
  <si>
    <t>BYOD endpoint security framework implemented through Remote Work and Device Security Policy including device encryption, multi-factor authentication, security updates, and antivirus protection. Enhanced requirements for devices processing personal data include mandatory full disk encryption. Microsoft 365/Azure integration provides centralized access controls and device management capabilities.</t>
  </si>
  <si>
    <t>8.2 Privileged access rights</t>
  </si>
  <si>
    <t>The allocation and use of privileged access rights shall be restricted and managed.</t>
  </si>
  <si>
    <t>Privileged access managed through Microsoft 365/Azure RBAC with combined user/admin accounts and role-based privilege elevation. For PII systems: dual approval (Asset Owner + DPO), time-limited elevated access, quarterly access review, and enhanced logging in Access Register per Access Control Policy.</t>
  </si>
  <si>
    <t>Access Control Matrix sheet</t>
  </si>
  <si>
    <t>8.3 Information access restriction</t>
  </si>
  <si>
    <t>Access to information and other associated assets shall be restricted in accordance with the established topic-specific policy on access control.</t>
  </si>
  <si>
    <t>Based on document labeling and RBAC PII access classified by scope (Basic/Full PII) and role (Regular/Privileged), with dual approval workflow and enhanced logging per Access Management Process. Access tracked in Access Register with PII-specific columns.</t>
  </si>
  <si>
    <t>8.4 Access to source code</t>
  </si>
  <si>
    <t>Read and write access to source code, development tools and software libraries shall be appropriately managed.</t>
  </si>
  <si>
    <t>Not relevant as we don't develop SW</t>
  </si>
  <si>
    <t>8.5 Secure authentication</t>
  </si>
  <si>
    <t>Secure authentication technologies and procedures shall be implemented based on information access restrictions and the topic-specific policy on access control.</t>
  </si>
  <si>
    <t>Mandatory MFA across all platforms (Microsoft 365, SharePoint, Azure, Odoo). PII system access uses combined user/admin accounts with privilege elevation, dual approval workflows (Asset Owner + DPO), time-boxed administrative sessions, and enhanced audit logging per Access Control Policy and Access Management Process.</t>
  </si>
  <si>
    <t>8.6 Capacity management</t>
  </si>
  <si>
    <t>The use of resources shall be monitored and adjusted in line with current and expected capacity requirements.</t>
  </si>
  <si>
    <t>Per controls implemented in Azure and MSFT 365 as all documents and IP are stored and managed in the cloud. **PII storage capacity is monitored through Microsoft 365 admin center with alerts for approaching storage limits. Personal data retention schedules ensure efficient use of storage resources.</t>
  </si>
  <si>
    <t>8.7 Protection against malware</t>
  </si>
  <si>
    <t>Protection against malware shall be implemented and supported by appropriate user awareness.</t>
  </si>
  <si>
    <t>Relevant security training will be provided as well as policy and procedure documents.All devices processing PII are protected by endpoint security solutions with real-time scanning</t>
  </si>
  <si>
    <t>Training and Awarness Policy</t>
  </si>
  <si>
    <t>ISMS Awarness Records</t>
  </si>
  <si>
    <t>8.8 Management of technical vulnerabilities</t>
  </si>
  <si>
    <t>Information about technical vulnerabilities of information systems in use shall be obtained, the organization's exposure to such vulnerabilities shall be evaluated and appropriate measures shall be taken.</t>
  </si>
  <si>
    <t>Based on information provided by MSFT to their customers through various tools and portals and Admin Centers. PII processing systems receive priority vulnerability remediation to ensure data protection complianceand minimize privacy risks.</t>
  </si>
  <si>
    <t>Vulnerability Management</t>
  </si>
  <si>
    <t>8.9 Configuration management</t>
  </si>
  <si>
    <t>Configurations, including security configurations, of hardware, software, services and networks shall be established, documented, implemented, monitored and reviewed.</t>
  </si>
  <si>
    <t>Configuration management handled through Microsoft platform tools (Azure Admin Center, SharePoint Admin, M365 Admin Center) with reliance on Microsoft security baselines and automated compliance monitoring for both security and privacy configurations.</t>
  </si>
  <si>
    <t>8.10</t>
  </si>
  <si>
    <t>8.10 Information deletion</t>
  </si>
  <si>
    <t>Information stored in information systems, devices or in any other storage media shall be deleted when no longer required.</t>
  </si>
  <si>
    <t>Information deletion implemented per comprehensive data retention schedule with defined periods for different data categories (financial, employee, client, communications). Secure deletion procedures include cryptographic erasure, certified destruction methods, and periodic compliance reviews. Enhanced deletion procedures for personal data support data subject rights and regulatory compliance requirements.</t>
  </si>
  <si>
    <t>Information Security and Data Mangement Process</t>
  </si>
  <si>
    <t>8.11 Data masking</t>
  </si>
  <si>
    <t>Data masking shall be used in accordance with the organization's topic-specific policy on access control and other related topic-specific policies, and business requirements, taking applicable legislation into consideration.</t>
  </si>
  <si>
    <t>Data masking is applied to protect personal information when used outside of production environments, ensuring GDPR compliance and reducing exposure risks. This aligns with our access control and data protection policies.</t>
  </si>
  <si>
    <t>8.12 Data leakage prevention</t>
  </si>
  <si>
    <t>Data leakage prevention measures shall be applied to systems, networks and any other devices that process, store or transmit sensitive information.</t>
  </si>
  <si>
    <t>Data leakage prevention implemented through comprehensive RBAC, document classification system (Public/Internal/Confidential/Restricted), and cloud-only storage requirements. Technical controls include SharePoint automatic access enforcement, removable media restrictions for personal data, and clear desk/screen policies. Enhanced monitoring and access controls for personal data processing provide additional privacy protection layers.</t>
  </si>
  <si>
    <t>INformation Security and Data Management Policy</t>
  </si>
  <si>
    <t>8.13 Information backup</t>
  </si>
  <si>
    <t>Backup copies of information, software and systems shall be maintained and regularly tested in accordance with the agreed topic-specific policy on backup.</t>
  </si>
  <si>
    <t>Azure and MSFT 365m Sharepoint and Odoo provide the needed redundancy and backups. PII-specific backup requirements implemented including GDPR-compliant storage locations, restoration event logging in Incident Log, and quarterly compliance reviews per Backup and Recovery Plan section 3.1</t>
  </si>
  <si>
    <t>8.14 Redundancy of information processing facilities</t>
  </si>
  <si>
    <t>Information processing facilities shall be implemented with redundancy sufficient to meet availability requirements.</t>
  </si>
  <si>
    <t>Azure and MSFT 365  Sharepoint and Odoo provide such redundancy and capacity management in line with the business impact assessment sheet in the ISO 27001 Arion Networks Workbook</t>
  </si>
  <si>
    <t>BIA Bus Impact Ass sheet</t>
  </si>
  <si>
    <t>8.15 Logging</t>
  </si>
  <si>
    <t>Logs that record activities, exceptions, faults and other relevant events shall be produced, stored, protected and analysed.</t>
  </si>
  <si>
    <t>Microsoft tools log system activities. PII access logging implemented through quarterly access reviews in Access Register and incident-based logging for PII restoration events in Incident Log. High-risk PII access monitored through periodic admin access reviews.</t>
  </si>
  <si>
    <t>8.16 Monitoring activities</t>
  </si>
  <si>
    <t>Networks, systems and applications shall be monitored for anomalous behaviour and appropriate actions taken to evaluate potential information security incidents.</t>
  </si>
  <si>
    <t>Microsoft tools are used to continuously monitor the 365 environment for unusual or suspicious activity. This enables prompt identification and evaluation of potential security incidents, ensuring effective incident response and minimizing risk to the organization’s information assets. PII-specific monitoring implemented through quarterly access reviews, monthly backup system health checks, and privacy compliance tracking in Quarterly Security Review.</t>
  </si>
  <si>
    <t>8.17 Clock synchronization</t>
  </si>
  <si>
    <t>The clocks of information processing systems used by the organization shall be synchronized to approved time sources.</t>
  </si>
  <si>
    <t>To ensure consistency and accuracy in logging and time-based operations, all information processing systems are synchronized with trusted time sources (e.g., Windows and Apple time servers). This helps maintain accurate timestamps for events, which is critical for security monitoring, audit trails, and incident response.Not per ISMS Scope</t>
  </si>
  <si>
    <t>8.18 Use of privileged utility programs</t>
  </si>
  <si>
    <t>The use of utility programs that can be capable of overriding system and application controls shall be restricted and tightly controlled.</t>
  </si>
  <si>
    <t>Utility programs capable of bypassing system and application controls pose a security risk if misused. To mitigate this risk, their use is strictly limited to authorized administrators. This ensures that only trusted personnel can perform actions that could potentially compromise system integrity, ensuring control over sensitive operations.</t>
  </si>
  <si>
    <t>8.19 Installation of software on operational systems</t>
  </si>
  <si>
    <t>Procedures and measures shall be implemented to securely manage software installation on operational systems.</t>
  </si>
  <si>
    <t>Per RBAC, MSFT Azure and MSFT 365 and Odoo  tools. These platforms have built-in controls to restrict unauthorized installations and manage operational environments securely. Adhering to MSFT best practice security recommendations. Software installation limited to IT administrators, unauthorized installations prohibited, updates managed through automatic policies with admin oversight.</t>
  </si>
  <si>
    <t>8.20</t>
  </si>
  <si>
    <t>8.20 Networks security</t>
  </si>
  <si>
    <t>Networks and network devices shall be secured, managed and controlled to protect information in systems and applications.</t>
  </si>
  <si>
    <t>Per Azure and MSFT and Odoo security tools. These platforms do have strong built-in network security controls and are configured in line w the best practice recommendations.</t>
  </si>
  <si>
    <t>8.21 Security of network services</t>
  </si>
  <si>
    <t>Security mechanisms, service levels and service requirements of network services shall be identified, implemented and monitored.</t>
  </si>
  <si>
    <t>Not per ISMS Scope</t>
  </si>
  <si>
    <t>8.22 Segregation of networks</t>
  </si>
  <si>
    <t>Groups of information services, users and information systems shall be segregated in the organization's networks.</t>
  </si>
  <si>
    <t>8.23 Web filtering</t>
  </si>
  <si>
    <t>Access to external websites shall be managed to reduce exposure to malicious content.</t>
  </si>
  <si>
    <t>Web filtering tools on all web browsers help identify and block access to malicious websites, minimizing the risk of exposure to harmful content. This control is designed to enhance security by preventing access to potentially harmful websites and supporting the organization’s overall information security posture.</t>
  </si>
  <si>
    <t>8.24 Use of cryptography</t>
  </si>
  <si>
    <t>Rules for the effective use of cryptography, including cryptographic key management, shall be defined and implemented.</t>
  </si>
  <si>
    <t>Per platform-native encryption available ON Odoo and msft 365 for data such as email and critical documents.</t>
  </si>
  <si>
    <t>RoPA Register</t>
  </si>
  <si>
    <t>8.25 Secure development life cycle</t>
  </si>
  <si>
    <t>Rules for the secure development of software and systems shall be established and applied.</t>
  </si>
  <si>
    <t>Not in ISMS scope - we don't do Sw development</t>
  </si>
  <si>
    <t>8.26 Application security requirements</t>
  </si>
  <si>
    <t>Information security requirements shall be identified, specified and approved when developing or acquiring applications.</t>
  </si>
  <si>
    <t>8.27 Secure system architecture and engineering principles</t>
  </si>
  <si>
    <t>Principles for engineering secure systems shall be established, documented, maintained and applied to any information system development activities.</t>
  </si>
  <si>
    <t>8.28 Secure coding</t>
  </si>
  <si>
    <t>Secure coding principles shall be applied to software development.</t>
  </si>
  <si>
    <t>8.29 Security testing in development and acceptance</t>
  </si>
  <si>
    <t>Security testing processes shall be defined and implemented in the development life cycle.</t>
  </si>
  <si>
    <t>8.30</t>
  </si>
  <si>
    <t>8.30 Outsourced development</t>
  </si>
  <si>
    <t>The organization shall direct, monitor and review the activities related to outsourced system development.</t>
  </si>
  <si>
    <t>8.31 Separation of development, test and production environments</t>
  </si>
  <si>
    <t>Development, testing and production environments shall be separated and secured.</t>
  </si>
  <si>
    <t>8.32 Change management</t>
  </si>
  <si>
    <t>Changes to information processing facilities and information systems shall be subject to change management procedures.</t>
  </si>
  <si>
    <t>Change management process in place. Process includes additional privacy impact assessment and approval requirements for changes affecting personal data processing (per Change Management Process document section 3.1)</t>
  </si>
  <si>
    <t>Change Management Process</t>
  </si>
  <si>
    <t>8.33 Test information</t>
  </si>
  <si>
    <t>Test information shall be appropriately selected, protected and managed.</t>
  </si>
  <si>
    <t>8.34 Protection of information systems during audit testing</t>
  </si>
  <si>
    <t>Audit tests and other assurance activities involving assessment of operational systems shall be planned and agreed between the tester and appropriate management.</t>
  </si>
  <si>
    <t>Audit tests and assurance activities are conducted in a controlled manner, ensuring that operational systems remain secure and unaffected during testing. By planning and coordinating with appropriate management, we ensure that devices and systems can continue normal operations without risk of disruption, maintaining the integrity and availability of critical information.</t>
  </si>
  <si>
    <t>Internal Audit Policy</t>
  </si>
  <si>
    <t>Risk ID</t>
  </si>
  <si>
    <t>Interested Party</t>
  </si>
  <si>
    <t>Threat</t>
  </si>
  <si>
    <t>Vulnerability</t>
  </si>
  <si>
    <t>Likelihood</t>
  </si>
  <si>
    <t>Impact</t>
  </si>
  <si>
    <t>Risk Score</t>
  </si>
  <si>
    <t>Risk Owner</t>
  </si>
  <si>
    <t>R001</t>
  </si>
  <si>
    <t>Clients/Customers (external)</t>
  </si>
  <si>
    <t>R002</t>
  </si>
  <si>
    <t>ISMS Roles (internal)</t>
  </si>
  <si>
    <t>R003</t>
  </si>
  <si>
    <t>R004</t>
  </si>
  <si>
    <t>Management (internal)</t>
  </si>
  <si>
    <t>R005</t>
  </si>
  <si>
    <t>Employees/Contractors (internal)</t>
  </si>
  <si>
    <t>R006</t>
  </si>
  <si>
    <t>R007</t>
  </si>
  <si>
    <t>R008</t>
  </si>
  <si>
    <t>R009</t>
  </si>
  <si>
    <t>R010</t>
  </si>
  <si>
    <t>R011</t>
  </si>
  <si>
    <t>R012</t>
  </si>
  <si>
    <t>R013</t>
  </si>
  <si>
    <t>R014</t>
  </si>
  <si>
    <t>R015</t>
  </si>
  <si>
    <t>R016</t>
  </si>
  <si>
    <t>R017</t>
  </si>
  <si>
    <t>R018</t>
  </si>
  <si>
    <t>R019</t>
  </si>
  <si>
    <t>R020</t>
  </si>
  <si>
    <t>R021</t>
  </si>
  <si>
    <t>R022</t>
  </si>
  <si>
    <t>R023</t>
  </si>
  <si>
    <t>R024</t>
  </si>
  <si>
    <t>R025</t>
  </si>
  <si>
    <t>R026</t>
  </si>
  <si>
    <t>Suppliers/Partners (external)</t>
  </si>
  <si>
    <t>R027</t>
  </si>
  <si>
    <t>R028</t>
  </si>
  <si>
    <t>R029</t>
  </si>
  <si>
    <t>Latest updates and best practice not implemented per latest security vulnerabilities identified exposing to multiple threat vectors.</t>
  </si>
  <si>
    <t>R030</t>
  </si>
  <si>
    <t>ISMS compliance</t>
  </si>
  <si>
    <t>Auditors/Certification Bodies (external)</t>
  </si>
  <si>
    <t>R031</t>
  </si>
  <si>
    <t>Risk Communications Matrix - ISMS Workbook</t>
  </si>
  <si>
    <t>Regulatory Bodies (external)</t>
  </si>
  <si>
    <t>R032</t>
  </si>
  <si>
    <t>R033</t>
  </si>
  <si>
    <t>R034</t>
  </si>
  <si>
    <t>R035</t>
  </si>
  <si>
    <t>Interested parties</t>
  </si>
  <si>
    <t>Risk Description</t>
  </si>
  <si>
    <t>Risk Level Before Treatment</t>
  </si>
  <si>
    <t>Treatment Option</t>
  </si>
  <si>
    <t>Treatment Action</t>
  </si>
  <si>
    <t>ISMS Control Desription</t>
  </si>
  <si>
    <t xml:space="preserve">ISMS Applicable Controls </t>
  </si>
  <si>
    <t>PIMS Control Desription</t>
  </si>
  <si>
    <t>PIMS Applicable Controls</t>
  </si>
  <si>
    <t>Implementation Date</t>
  </si>
  <si>
    <t>Residual Risk</t>
  </si>
  <si>
    <t>Effectivness Review</t>
  </si>
  <si>
    <t>Residual Risk Level after Treatment</t>
  </si>
  <si>
    <t>Implement role-based access control (RBAC), MFA, logging and regularly review access rights for client data.</t>
  </si>
  <si>
    <t>The organization shall determine and securely maintain the necessary records in support of its obligations for the processing of PII.</t>
  </si>
  <si>
    <t>A.7.2.8 Records related to processing PII</t>
  </si>
  <si>
    <t>2024-05-01</t>
  </si>
  <si>
    <t>Conduct mandatory phishing simulations and quarterly security awareness training for staff.</t>
  </si>
  <si>
    <t>NA</t>
  </si>
  <si>
    <t>2024-05-15</t>
  </si>
  <si>
    <t>Apply Azure DDoS Protection and restrict access to training VMs via NSGs and IP whitelisting.</t>
  </si>
  <si>
    <t>2024-05-20</t>
  </si>
  <si>
    <t>Enforce just-in-time privileged access in Azure and review audit logs monthly.</t>
  </si>
  <si>
    <t>Enable document-level access controls and review permissions bi-annually.</t>
  </si>
  <si>
    <t>2024-05-30</t>
  </si>
  <si>
    <t>Implement automated daily backups as a matter of policy by project manager with monthly restore tests. Can utilize Onedrive</t>
  </si>
  <si>
    <t>2024-05-25</t>
  </si>
  <si>
    <t>Policy states no sensitive data on laptops or phones</t>
  </si>
  <si>
    <t>A.7.4.8 Disposal</t>
  </si>
  <si>
    <t>Implement msft defender or similar</t>
  </si>
  <si>
    <t>Store all materials in SharePoint/OneDrive with versioning and daily cloud backup.</t>
  </si>
  <si>
    <t>Apply Sensitivity and restrict sharing</t>
  </si>
  <si>
    <t>Use SharePoint with restricted editing rights.</t>
  </si>
  <si>
    <t>We are relying on MSFT and Odoo native redundancy functions</t>
  </si>
  <si>
    <t>We are relying on MSFT and Odoo native logging functions</t>
  </si>
  <si>
    <t>All trackers are in cloud and backed up to OneDrive</t>
  </si>
  <si>
    <t>Restrict access to only required data and apply watermarking/sensitivity labels.</t>
  </si>
  <si>
    <t>The organization shall limit the processing of PII to that which is adequate, relevant and necessary for the identified purposes.</t>
  </si>
  <si>
    <t>A.7.4.2 Limit processing</t>
  </si>
  <si>
    <t>The organization shall subject PII transmitted (e.g. sent to another organization) over a data-transmission network to appropriate controls designed to ensure that the data reaches its intended destination.</t>
  </si>
  <si>
    <t>A.7.4.9 PII transmission controls</t>
  </si>
  <si>
    <t>Ensure information security awareness is provided.</t>
  </si>
  <si>
    <t>The organization shall have documented policies, procedures and/or mechanisms for secure disposal of PII.</t>
  </si>
  <si>
    <t>MFA implemented</t>
  </si>
  <si>
    <t>Enable audit trail modules and assign least privilege roles.</t>
  </si>
  <si>
    <t>Mandate MFA for all Azure roles </t>
  </si>
  <si>
    <t>Implement Azure Site Recovery and run BCP tests yearly.</t>
  </si>
  <si>
    <t>Set default sharing to "People in organization only" and auto-expiry for guest links.</t>
  </si>
  <si>
    <t>Training for all employees, partners and contractors</t>
  </si>
  <si>
    <t>To stay informed about the latest security vulnerabilities affecting Microsoft 365, Azure, SharePoint, and OneDrive, you can utilize several official Microsoft resources: MS365 Security Updates, Azure Security Updates, SharePoint Security Updetes, OneDrive Security Updates and Microsoft Security Advisories.</t>
  </si>
  <si>
    <t>Identify all national, regional, global and industry legislation and requirements and mantain the ISMS in accordance.</t>
  </si>
  <si>
    <t>Prepare incident management security plan, including the handling and communication process, roles and responsibilities.</t>
  </si>
  <si>
    <t>Define a security baseline, ensure configuration settings are documented, reviewed and audited.</t>
  </si>
  <si>
    <t>Limit collection of PI related to financial documents</t>
  </si>
  <si>
    <t>A.7.4.1 Limit collection</t>
  </si>
  <si>
    <t>Process PI only when necessary. Forbid misuse of PI, including its use in AI tools.</t>
  </si>
  <si>
    <t>International transfer of PI is allowed only based on relavant legal requirements.</t>
  </si>
  <si>
    <t>A.7.5.1 Identify basis for PII transfer between jurisdictions</t>
  </si>
  <si>
    <t>Planned</t>
  </si>
  <si>
    <t>In progress</t>
  </si>
  <si>
    <t>Action ID</t>
  </si>
  <si>
    <t>Action</t>
  </si>
  <si>
    <t>Related Risk</t>
  </si>
  <si>
    <t>Owner</t>
  </si>
  <si>
    <t>Due Date</t>
  </si>
  <si>
    <t>Completion Date</t>
  </si>
  <si>
    <t>RBAC refresh in Sharepoint and Azure</t>
  </si>
  <si>
    <t>2024-05-10</t>
  </si>
  <si>
    <t>MFA enabled for cloud</t>
  </si>
  <si>
    <t>Provide securtiy awareness training</t>
  </si>
  <si>
    <t>Rely on bulit-in Azure capabilities and implement RBAC in Azure</t>
  </si>
  <si>
    <t>Create access groups in Azure for period only during training sessions and then remove them</t>
  </si>
  <si>
    <t>RBAC implemented with quarterly (PII) and semi-annual (non-PII) access reviews.</t>
  </si>
  <si>
    <t>Rely on bulilt-in Sharepoint capabilties</t>
  </si>
  <si>
    <t>Provide security awareness training</t>
  </si>
  <si>
    <t xml:space="preserve">Policy prohibits local data storage; cloud-only mandated (Azure/M365). Annual security awareness training completed </t>
  </si>
  <si>
    <t>Antivirus mandatory per BYOD policy; M365/Azure anti-malware enabled; training delivered.</t>
  </si>
  <si>
    <t>All materials stored in SharePoint/OneDrive per policy; version history enabled (500 versions); continuous M365/Azure backup active; security awareness training completed</t>
  </si>
  <si>
    <t>SharePoint policies folder with RBAC (edit rights limited to ISMS/PIMS roles, read-only for others), quarterly access reviews, version control prevents unauthorized modifications.</t>
  </si>
  <si>
    <t>Redundancy is included in SaaS</t>
  </si>
  <si>
    <t>M365/Azure continuous geo-redundant backups per SLA, Odoo Cloud daily automated backups with multi-datacenter replication; monthly service health monitoring, semi-annual recovery testing.</t>
  </si>
  <si>
    <t>All ISMS/PIMS tracking sheets stored in SharePoint with version control enabled (500 major versions retained, no time limit), recycle bin protection (30-day retention), backed up via Microsoft 365 geo-redundant infrastructure.</t>
  </si>
  <si>
    <t>Implement RBAC.</t>
  </si>
  <si>
    <t>Rely on the hosting service provider to mitigate.</t>
  </si>
  <si>
    <t>RBAC refresh in Sharepoint and Azure; Document labeling</t>
  </si>
  <si>
    <t>Contractors assigned guest accounts with read-only SharePoint permissions to PII folders, all documents labeled with sensitivity classification (footer watermark + SharePoint label), quarterly access reviews or upon contract termination.</t>
  </si>
  <si>
    <t>Provide securtiy awareness training. Documents always stored on Sharepoint.</t>
  </si>
  <si>
    <t>Enforce MFA.</t>
  </si>
  <si>
    <t>Rely on native Odoo capabilities and implement RBAC with MFA.</t>
  </si>
  <si>
    <t>Verify that Azure defined pipelines perform as expected.</t>
  </si>
  <si>
    <t>Verify MS Defender findings and monitor security updates</t>
  </si>
  <si>
    <t>Asset Type</t>
  </si>
  <si>
    <t>Asset Location</t>
  </si>
  <si>
    <t>Criticality</t>
  </si>
  <si>
    <t>Financial Impact</t>
  </si>
  <si>
    <t>Operational Impact</t>
  </si>
  <si>
    <t>Reputational Impact</t>
  </si>
  <si>
    <t>Legal/Regulatory Impact</t>
  </si>
  <si>
    <t>RTO</t>
  </si>
  <si>
    <t>RPO</t>
  </si>
  <si>
    <t>Dependencies/Comments</t>
  </si>
  <si>
    <t>Overall Priority</t>
  </si>
  <si>
    <t>High (Loss of clients, fines)</t>
  </si>
  <si>
    <t>Severe disruption to sales process</t>
  </si>
  <si>
    <t>Severe (loss of trust)</t>
  </si>
  <si>
    <t>High (compliance issues)</t>
  </si>
  <si>
    <t>2 hours</t>
  </si>
  <si>
    <t>1 hour</t>
  </si>
  <si>
    <t>Low (Minor revenue impact)</t>
  </si>
  <si>
    <t>Moderate (affects training delivery)</t>
  </si>
  <si>
    <t>4 hours</t>
  </si>
  <si>
    <t>Used to conduct labs on Azure.</t>
  </si>
  <si>
    <t>MSFT SharePoint</t>
  </si>
  <si>
    <t>High (Project delays, cost overruns)</t>
  </si>
  <si>
    <t>High (Service delivery impact)</t>
  </si>
  <si>
    <t>High (if leaked)</t>
  </si>
  <si>
    <t>3 hours</t>
  </si>
  <si>
    <t>Documentation of completed and ongoing projects.</t>
  </si>
  <si>
    <t>Employee Laptops</t>
  </si>
  <si>
    <t>Medium (Replacement cost, productivity loss)</t>
  </si>
  <si>
    <t>Medium (Impact on remote work)</t>
  </si>
  <si>
    <t>Laptops used to access Arion Networks cloud locations.</t>
  </si>
  <si>
    <t>High (Loss of IP and training capabilities)</t>
  </si>
  <si>
    <t>High (Affects training delivery)</t>
  </si>
  <si>
    <t>Consulting Process Documents</t>
  </si>
  <si>
    <t>6 hours</t>
  </si>
  <si>
    <t>Consulting SOW templates.</t>
  </si>
  <si>
    <t>Service Delivery Process Documents</t>
  </si>
  <si>
    <t>Service Delivery SOW Templates.</t>
  </si>
  <si>
    <t>Hosted Cloud</t>
  </si>
  <si>
    <t>Medium (Loss of online presence)</t>
  </si>
  <si>
    <t>Medium (Disruption of marketing/sales)</t>
  </si>
  <si>
    <t>Public facing website.</t>
  </si>
  <si>
    <t>High (Impact on business delivery)</t>
  </si>
  <si>
    <t>High (Loss of specialized skills)</t>
  </si>
  <si>
    <t>Contractors for internal and customer facing work.</t>
  </si>
  <si>
    <t>High (Disruption to production)</t>
  </si>
  <si>
    <t>High (Impact on multiple functions)</t>
  </si>
  <si>
    <t>Produce internal documents, marketing and sales.</t>
  </si>
  <si>
    <t>Employee Phones</t>
  </si>
  <si>
    <t>Low (Replacement cost)</t>
  </si>
  <si>
    <t>Medium (Impact on communication)</t>
  </si>
  <si>
    <t>Phones used by employees, partially for work.</t>
  </si>
  <si>
    <t>INCIDENT LOG AND PII RESTORATION</t>
  </si>
  <si>
    <t>Incident ID</t>
  </si>
  <si>
    <t>PII Involved (Y/N)</t>
  </si>
  <si>
    <t>PII Categories</t>
  </si>
  <si>
    <t>Data Subjects Affected (approx. number of individuals)</t>
  </si>
  <si>
    <t>Breach Classification (InfoSec inc., PII, both, non breach)</t>
  </si>
  <si>
    <t>Supervisory Authority Notified (Y/N)</t>
  </si>
  <si>
    <t>Data Subject NOtified (Y/N)</t>
  </si>
  <si>
    <t>PII Restoration Authorized By</t>
  </si>
  <si>
    <t>PII Restoration Performed By</t>
  </si>
  <si>
    <t>Evidence Collected  (Y/N)</t>
  </si>
  <si>
    <t>PII Restoration Reason</t>
  </si>
  <si>
    <t xml:space="preserve">Type of Evidence </t>
  </si>
  <si>
    <t>Evidence Storage Location</t>
  </si>
  <si>
    <t>Chain of Custody</t>
  </si>
  <si>
    <t>Actions Taken</t>
  </si>
  <si>
    <t>Resolution Date</t>
  </si>
  <si>
    <t>Lessons Learned</t>
  </si>
  <si>
    <t>Not properly restricted storage</t>
  </si>
  <si>
    <t>Odoo SaaS implemented</t>
  </si>
  <si>
    <t>Needed a properly controlled DB</t>
  </si>
  <si>
    <t>ISMS documents not accessible</t>
  </si>
  <si>
    <t>Channel and Site implemented and training conducted</t>
  </si>
  <si>
    <t>Ideally want to enter the Asset that has the incident and then base on that the incident id gets generated</t>
  </si>
  <si>
    <t>Audit ID</t>
  </si>
  <si>
    <t>Scope</t>
  </si>
  <si>
    <t>Auditor</t>
  </si>
  <si>
    <t>Finding ID</t>
  </si>
  <si>
    <t>Findings</t>
  </si>
  <si>
    <t>Risk Impact</t>
  </si>
  <si>
    <t>Corrective Action ID</t>
  </si>
  <si>
    <t>Auditor Notes</t>
  </si>
  <si>
    <t>Follow up date</t>
  </si>
  <si>
    <t>Readiness of ISMS for external audit</t>
  </si>
  <si>
    <t>F001</t>
  </si>
  <si>
    <t xml:space="preserve">Access register records from Q4 2024 documentation incomplete </t>
  </si>
  <si>
    <t>CA001</t>
  </si>
  <si>
    <t xml:space="preserve">Signature missing in two entries – remediation needed </t>
  </si>
  <si>
    <t>F002</t>
  </si>
  <si>
    <t xml:space="preserve">Incident response drill planned but not done or documented for Q1 2025 </t>
  </si>
  <si>
    <t>CA002</t>
  </si>
  <si>
    <t xml:space="preserve">Drill did not occur but evidence not logged formally </t>
  </si>
  <si>
    <t>F003</t>
  </si>
  <si>
    <t>Document Content Register in Workbook not reflecting final approval timestamps and change log</t>
  </si>
  <si>
    <t>CA003</t>
  </si>
  <si>
    <t xml:space="preserve">Recommend automating or enforcing version control </t>
  </si>
  <si>
    <t>Completed without automation</t>
  </si>
  <si>
    <t>Ext Audit ID</t>
  </si>
  <si>
    <t>External Auditor, Martin Vysata, URS</t>
  </si>
  <si>
    <t>OFI-Opportunity for improvement: It is advisable to evaluate business partners as part of the supplier assessment process</t>
  </si>
  <si>
    <t>Business partners assessment tracker sheet created and completed. NDA, Access Registry, Training, and BYOD attestation tracking implemented</t>
  </si>
  <si>
    <t>OFI-Opportunity for improvement:It is advisable to implement a formal review of user access rights</t>
  </si>
  <si>
    <t>OFI-Opportunity for improvement:It is advisable to define specific rules or maintain allow/deny lists for software usage</t>
  </si>
  <si>
    <t>E.g. ChatGPT is used within the org, it must be classified as a third-party service, documented within the list of used systems/tools, covered by a usage policy outlining how it is used and what controls are in place.</t>
  </si>
  <si>
    <t>F004</t>
  </si>
  <si>
    <t>OFI-Opportunity for improvement: It is advisable to include an overview of audited clauses or controls in audit reports to ensure higher traceability and completeness of the audit record.</t>
  </si>
  <si>
    <t>CA004</t>
  </si>
  <si>
    <t>In the next internal audit report, clearly state that all ISO 27001 core sections and Annex A controls were used as audit criteria. Confirm in the report that each section was reviewed in detail during the audit. The report should demonstrate that the entire ISMS was audited and this will be verified during the next external audit.</t>
  </si>
  <si>
    <t>Training ID</t>
  </si>
  <si>
    <t>Training Title</t>
  </si>
  <si>
    <t>Date Delivered</t>
  </si>
  <si>
    <t>Trainer</t>
  </si>
  <si>
    <t>Participants</t>
  </si>
  <si>
    <t>Completion Status</t>
  </si>
  <si>
    <t>Evaluation Results</t>
  </si>
  <si>
    <t>Next Training Date By</t>
  </si>
  <si>
    <t>Proof of Completion</t>
  </si>
  <si>
    <t>TR0001</t>
  </si>
  <si>
    <t>ISMS Internal Training</t>
  </si>
  <si>
    <t>Acknowledgement Records</t>
  </si>
  <si>
    <t>TR0002</t>
  </si>
  <si>
    <t>TR0003</t>
  </si>
  <si>
    <t>Acknolwedgement Records</t>
  </si>
  <si>
    <t>TR0004</t>
  </si>
  <si>
    <t>TR0005</t>
  </si>
  <si>
    <t>TR0006</t>
  </si>
  <si>
    <t>TR0008</t>
  </si>
  <si>
    <t>Information Security Awareness Training</t>
  </si>
  <si>
    <t>ISMS Special interest groups engagement log</t>
  </si>
  <si>
    <t>Last Review Date</t>
  </si>
  <si>
    <t>Group Name</t>
  </si>
  <si>
    <t>Focus Area</t>
  </si>
  <si>
    <t>Assigned To</t>
  </si>
  <si>
    <t>Engagement Type</t>
  </si>
  <si>
    <t>Link</t>
  </si>
  <si>
    <t>Relevance to GDPR/ISO 27701</t>
  </si>
  <si>
    <t>Tags</t>
  </si>
  <si>
    <t>Cloud Security Alliance (CSA), review monthly</t>
  </si>
  <si>
    <t>Cloud security, SaaS compliance, Zero Trust</t>
  </si>
  <si>
    <t>ISMS Manager (Libor)</t>
  </si>
  <si>
    <t>Subscribe to newsletter; review monthly</t>
  </si>
  <si>
    <t>https://cloudsecurityalliance.org/newsletter/</t>
  </si>
  <si>
    <t>Cloud compliance, privacy protection in cloud (ISO 27701 6.2.6, GDPR Art. 32)</t>
  </si>
  <si>
    <t>#Cloud #Privacy #Compliance</t>
  </si>
  <si>
    <t>OWASP (Open Web Application Security Project)</t>
  </si>
  <si>
    <t>Secure development, AppSec, API risks</t>
  </si>
  <si>
    <t>Information Security Officer (Petra)</t>
  </si>
  <si>
    <t>Follow Top 10 updates; General awareness - monitor for potential future development projects</t>
  </si>
  <si>
    <t>https://owasp.org/news/</t>
  </si>
  <si>
    <t>AppSec and secure coding practices (GDPR Art. 32, ISO 27001 A.8.28)</t>
  </si>
  <si>
    <t>#AppSec #SDLC #Security</t>
  </si>
  <si>
    <t>Reviewed, not currently applicable (no active development). Monitoring for awareness only</t>
  </si>
  <si>
    <t>ENISA (European Union Agency for Cybersecurity) review quarterly</t>
  </si>
  <si>
    <t>Threat intelligence, EU regulation, incident response</t>
  </si>
  <si>
    <t>Data Protection &amp; Risk Manager (Zorko)</t>
  </si>
  <si>
    <t>Read threat landscape reports; summarize quarterly</t>
  </si>
  <si>
    <t>https://www.enisa.europa.eu/news</t>
  </si>
  <si>
    <t>Threat and regulatory updates across EU (GDPR Art. 24, 32, ISO 27701 7.5.5)</t>
  </si>
  <si>
    <t>#ThreatIntel #EU #Privacy</t>
  </si>
  <si>
    <t>CIS (Center for Internet Security) - annually</t>
  </si>
  <si>
    <t>Security controls, hardening guides, benchmarks</t>
  </si>
  <si>
    <t>Security &amp; Incident Response Lead (Libor)</t>
  </si>
  <si>
    <t>Use controls for baseline reviews; review annually</t>
  </si>
  <si>
    <t>https://www.cisecurity.org/newsletter-sign-up/</t>
  </si>
  <si>
    <t>Technical security controls applicable to PI (GDPR Art. 32, ISO 27001 A.5.23)</t>
  </si>
  <si>
    <t>#SecurityControls #Baseline #PI</t>
  </si>
  <si>
    <t>Existing security controls remain aligned with framework. No changes required.</t>
  </si>
  <si>
    <t>NIST Cybersecurity Framework</t>
  </si>
  <si>
    <t>Risk management, baseline control alignment</t>
  </si>
  <si>
    <t>Track updates to framework; assess ISMS impact</t>
  </si>
  <si>
    <t>https://www.nist.gov/news-events/newsletters</t>
  </si>
  <si>
    <t>Security frameworks and risk controls (ISO 27001 6.1.3, ISO 27701 6.2.1)</t>
  </si>
  <si>
    <t>#Framework #RiskManagement</t>
  </si>
  <si>
    <t>Meeting ID</t>
  </si>
  <si>
    <t>Internal Audit ID</t>
  </si>
  <si>
    <t>Topics Discussed</t>
  </si>
  <si>
    <t>Actions Agreed</t>
  </si>
  <si>
    <t>Action Owner</t>
  </si>
  <si>
    <t>Action Status</t>
  </si>
  <si>
    <t>MR001</t>
  </si>
  <si>
    <t>Joseph Kamula, Zorko Petrusa, Yusuf Gyulhanov Yusufov</t>
  </si>
  <si>
    <t>General risk assesment and MS requirements</t>
  </si>
  <si>
    <t>Implement ISMS compliant to ISO 27001:2022</t>
  </si>
  <si>
    <t>Petra Ziva, Libor Ballaty, Zorko Petrusa</t>
  </si>
  <si>
    <t>Joseph Kamula, Zorko Petrusa, Petra Ziva, Libor Ballaty, Matt Dillon, Yusuf Yusufov</t>
  </si>
  <si>
    <t xml:space="preserve">Annual management review of ISMS implementation and readiness for ISO/IEC 27001 certification </t>
  </si>
  <si>
    <t>Data owners</t>
  </si>
  <si>
    <t xml:space="preserve">Complete Incident Response drill for Q1 </t>
  </si>
  <si>
    <t>Security Lead</t>
  </si>
  <si>
    <t>Change ID</t>
  </si>
  <si>
    <t>Change owner</t>
  </si>
  <si>
    <t>Change requestor</t>
  </si>
  <si>
    <t>Date of Request</t>
  </si>
  <si>
    <t>Change Description</t>
  </si>
  <si>
    <t>Test Plan and Validation</t>
  </si>
  <si>
    <t>Priority</t>
  </si>
  <si>
    <t>Rollback Plan</t>
  </si>
  <si>
    <t>Impact and Risk Assessment</t>
  </si>
  <si>
    <t>Stakeholder Impact</t>
  </si>
  <si>
    <t>Approvers</t>
  </si>
  <si>
    <t>Approval Status</t>
  </si>
  <si>
    <t>Approval Date</t>
  </si>
  <si>
    <t>Implementation Plan</t>
  </si>
  <si>
    <t>Implementation Date Planned</t>
  </si>
  <si>
    <t>Implementation Date Actual</t>
  </si>
  <si>
    <t xml:space="preserve">Review Date </t>
  </si>
  <si>
    <t>Supporting Docs</t>
  </si>
  <si>
    <t>CHG00001</t>
  </si>
  <si>
    <t>Information Security and Data Management Policy initial version</t>
  </si>
  <si>
    <t>New document</t>
  </si>
  <si>
    <t>Review planned</t>
  </si>
  <si>
    <t>New policy</t>
  </si>
  <si>
    <t>Appprove the policy</t>
  </si>
  <si>
    <t>CHG00002</t>
  </si>
  <si>
    <t>CHG00003</t>
  </si>
  <si>
    <t>CHG00004</t>
  </si>
  <si>
    <t>CHG00005</t>
  </si>
  <si>
    <t>CHG00006</t>
  </si>
  <si>
    <t>CHG00007</t>
  </si>
  <si>
    <t>CHG00008</t>
  </si>
  <si>
    <t>CHG00009</t>
  </si>
  <si>
    <t>CHG00010</t>
  </si>
  <si>
    <t>CHG00011</t>
  </si>
  <si>
    <t>CHG00012</t>
  </si>
  <si>
    <t>CHG00013</t>
  </si>
  <si>
    <t>CHG00014</t>
  </si>
  <si>
    <t>CHG00015</t>
  </si>
  <si>
    <t>CHG00016</t>
  </si>
  <si>
    <t>CHG00017</t>
  </si>
  <si>
    <t>CHG00018</t>
  </si>
  <si>
    <t>CHG00019</t>
  </si>
  <si>
    <t>CHG00020</t>
  </si>
  <si>
    <t>CHG00021</t>
  </si>
  <si>
    <t>CHG00022</t>
  </si>
  <si>
    <t>CHG00023</t>
  </si>
  <si>
    <t>CHG00024</t>
  </si>
  <si>
    <t>CHG00025</t>
  </si>
  <si>
    <t>CHG00026</t>
  </si>
  <si>
    <t>CHG00027</t>
  </si>
  <si>
    <t>CHG00028</t>
  </si>
  <si>
    <t>CHG00029</t>
  </si>
  <si>
    <t>CHG00030</t>
  </si>
  <si>
    <t>CHG00031</t>
  </si>
  <si>
    <t>CHG00032</t>
  </si>
  <si>
    <t>CHG00033</t>
  </si>
  <si>
    <t>CHG00034</t>
  </si>
  <si>
    <t>CHG00035</t>
  </si>
  <si>
    <t>CHG00036</t>
  </si>
  <si>
    <t>Document ID</t>
  </si>
  <si>
    <t>Document Title</t>
  </si>
  <si>
    <t>Major Version No.</t>
  </si>
  <si>
    <t>Minor Version Number</t>
  </si>
  <si>
    <t>Approved by</t>
  </si>
  <si>
    <t xml:space="preserve">Approval Date </t>
  </si>
  <si>
    <t>Change Reason</t>
  </si>
  <si>
    <t>Change type</t>
  </si>
  <si>
    <t>Requested by</t>
  </si>
  <si>
    <t>Request date</t>
  </si>
  <si>
    <t>Impact Assessment</t>
  </si>
  <si>
    <t>Implementation date</t>
  </si>
  <si>
    <t>DOC001</t>
  </si>
  <si>
    <t>Scope of the ISMS and PIMS</t>
  </si>
  <si>
    <t>DOC002</t>
  </si>
  <si>
    <t>Privacy and Information Security Objectives</t>
  </si>
  <si>
    <t>major revision</t>
  </si>
  <si>
    <t>DOC003</t>
  </si>
  <si>
    <t>Privacy and Information Security and Data Management Policy</t>
  </si>
  <si>
    <t>DOC004</t>
  </si>
  <si>
    <t>Risk Assessment and Treatment Process</t>
  </si>
  <si>
    <t>DOC006</t>
  </si>
  <si>
    <t>DOC007</t>
  </si>
  <si>
    <t>DOC008</t>
  </si>
  <si>
    <t>DOC009</t>
  </si>
  <si>
    <t>DOC010</t>
  </si>
  <si>
    <t>DOC011</t>
  </si>
  <si>
    <t>DOC012</t>
  </si>
  <si>
    <t>DOC013</t>
  </si>
  <si>
    <t>DOC014</t>
  </si>
  <si>
    <t>DOC015</t>
  </si>
  <si>
    <t>ISMS Change ManagementT Process</t>
  </si>
  <si>
    <t>DOC016</t>
  </si>
  <si>
    <t>DOC017</t>
  </si>
  <si>
    <t>ISMS Automation Process</t>
  </si>
  <si>
    <t>DOC018</t>
  </si>
  <si>
    <t>Lead Sales and Client Data Handling</t>
  </si>
  <si>
    <t>DOC019</t>
  </si>
  <si>
    <t>DOC020</t>
  </si>
  <si>
    <t>ISMS Internal Audit Plan</t>
  </si>
  <si>
    <t>DOC021</t>
  </si>
  <si>
    <t>ISMS Internal Audit Questionnaire</t>
  </si>
  <si>
    <t>DOC022</t>
  </si>
  <si>
    <t>TOC Information Security Documents</t>
  </si>
  <si>
    <t>DOC023</t>
  </si>
  <si>
    <t>Security Test Report</t>
  </si>
  <si>
    <t>DOC024</t>
  </si>
  <si>
    <t>DOC025</t>
  </si>
  <si>
    <t>ISMS Monitoring and Verification Automation Plan</t>
  </si>
  <si>
    <t>DOC026</t>
  </si>
  <si>
    <t>Policy Document Template</t>
  </si>
  <si>
    <t>DOC027</t>
  </si>
  <si>
    <t>Process Document Template</t>
  </si>
  <si>
    <t>DOC028</t>
  </si>
  <si>
    <t>Business Continuity Plan</t>
  </si>
  <si>
    <t>DOC029</t>
  </si>
  <si>
    <t>Security Vulnerability Management</t>
  </si>
  <si>
    <t>DOC030</t>
  </si>
  <si>
    <t>DOC031</t>
  </si>
  <si>
    <t>Contractor NDA</t>
  </si>
  <si>
    <t>DOC032</t>
  </si>
  <si>
    <t>Contractor Work Agreement</t>
  </si>
  <si>
    <t>DOC033</t>
  </si>
  <si>
    <t>DOC034</t>
  </si>
  <si>
    <t>DOC035</t>
  </si>
  <si>
    <t>DOC036</t>
  </si>
  <si>
    <t>Internal Audit Report Template</t>
  </si>
  <si>
    <t>iSMS Owner</t>
  </si>
  <si>
    <t>DOC037</t>
  </si>
  <si>
    <t>Management Review Procedure</t>
  </si>
  <si>
    <t>DOC038</t>
  </si>
  <si>
    <t>DOC039</t>
  </si>
  <si>
    <t>Interested Party Policy</t>
  </si>
  <si>
    <t>DOC040</t>
  </si>
  <si>
    <t>Incident Response Playbook Ransomware Scenario</t>
  </si>
  <si>
    <t>DOC041</t>
  </si>
  <si>
    <t>Incident Response Simulation Report Template</t>
  </si>
  <si>
    <t>Results of monitoring and measurement</t>
  </si>
  <si>
    <t>Monitoring/Measurement ID</t>
  </si>
  <si>
    <t>Monitoring/Measur. Description</t>
  </si>
  <si>
    <t>Objective</t>
  </si>
  <si>
    <t>Control/Area Being Monitored</t>
  </si>
  <si>
    <t>Measurement Criteria</t>
  </si>
  <si>
    <t>Frequency</t>
  </si>
  <si>
    <t>Measurement Results</t>
  </si>
  <si>
    <t>Target/Benchmark</t>
  </si>
  <si>
    <t>Action Required</t>
  </si>
  <si>
    <t>Date of Monitoring/Measurement</t>
  </si>
  <si>
    <t>MONBACKUP001</t>
  </si>
  <si>
    <t>Cloud Service Backup System Health Check</t>
  </si>
  <si>
    <t>Ensure backup systems operational and compliant</t>
  </si>
  <si>
    <t>Backup and Recovery (A.12.3)</t>
  </si>
  <si>
    <t>Service health status: Operational/Degraded/Outage</t>
  </si>
  <si>
    <t>Monthly</t>
  </si>
  <si>
    <t>M365: Operational, Odoo: Operational, Issues: None</t>
  </si>
  <si>
    <t>All services operational</t>
  </si>
  <si>
    <t>None</t>
  </si>
  <si>
    <t>MONBACKUP002</t>
  </si>
  <si>
    <t>MONBACKUP003</t>
  </si>
  <si>
    <t>MONBACKUP004</t>
  </si>
  <si>
    <t>Subject to internal audit and or gap analysis</t>
  </si>
  <si>
    <t>should track the effectiveness of the implemented ISMS controls and measure the ongoing performance of the ISMS. This includes monitoring security incidents, evaluating the performance of controls, and ensuring compliance with the established policies and procedures.</t>
  </si>
  <si>
    <t>User Name</t>
  </si>
  <si>
    <t>Device Type</t>
  </si>
  <si>
    <t>OS Version</t>
  </si>
  <si>
    <t>Security Compliance Status</t>
  </si>
  <si>
    <t>Required Updates/Actions</t>
  </si>
  <si>
    <t>Approved for use</t>
  </si>
  <si>
    <t>Next Security Check Review Date</t>
  </si>
  <si>
    <t>Q2 2025</t>
  </si>
  <si>
    <t xml:space="preserve">Libor </t>
  </si>
  <si>
    <t>Laptop</t>
  </si>
  <si>
    <t>Sonoma 14.6.1</t>
  </si>
  <si>
    <t>Compliant</t>
  </si>
  <si>
    <t>Phone</t>
  </si>
  <si>
    <t>IOS 18.3.2</t>
  </si>
  <si>
    <t>Windows 11 Home 24H2</t>
  </si>
  <si>
    <t>Android 10</t>
  </si>
  <si>
    <t>Sequoia 15.3.1</t>
  </si>
  <si>
    <t>Android 14</t>
  </si>
  <si>
    <t>Yusuf</t>
  </si>
  <si>
    <t>18.4.1</t>
  </si>
  <si>
    <t>macOS Sequoia 15.4.1</t>
  </si>
  <si>
    <t>Matt</t>
  </si>
  <si>
    <t>IOS 18.4.1</t>
  </si>
  <si>
    <t>Sequoia V15.4.1</t>
  </si>
  <si>
    <t>Joseph</t>
  </si>
  <si>
    <t>Sequoia 15.3.2</t>
  </si>
  <si>
    <t>Q3 2025</t>
  </si>
  <si>
    <t>Q4 2025</t>
  </si>
  <si>
    <t>IOS 18.6.2</t>
  </si>
  <si>
    <t>Lbor</t>
  </si>
  <si>
    <t>MacOS Sequoia 15.5</t>
  </si>
  <si>
    <t>iOS 26.1</t>
  </si>
  <si>
    <t>macOS Tahoe 26.1</t>
  </si>
  <si>
    <t>IOS</t>
  </si>
  <si>
    <t>Android 16</t>
  </si>
  <si>
    <t>Yes</t>
  </si>
  <si>
    <t>MacOS Sequoia 15.6.1</t>
  </si>
  <si>
    <t>Tomas K</t>
  </si>
  <si>
    <t>Ubuntu 24</t>
  </si>
  <si>
    <t>Joseph C</t>
  </si>
  <si>
    <t>Android</t>
  </si>
  <si>
    <t xml:space="preserve">Windows 11  </t>
  </si>
  <si>
    <t>Comms Method</t>
  </si>
  <si>
    <t>Email</t>
  </si>
  <si>
    <t>When needed</t>
  </si>
  <si>
    <t>Non Conformance ID</t>
  </si>
  <si>
    <t>Date Identified</t>
  </si>
  <si>
    <t>Root Cause</t>
  </si>
  <si>
    <t>Severity Level</t>
  </si>
  <si>
    <t>Corrective Action</t>
  </si>
  <si>
    <t>CA description</t>
  </si>
  <si>
    <t>Responsible Person/Owner</t>
  </si>
  <si>
    <t>Target completion date</t>
  </si>
  <si>
    <t>Follow-up date</t>
  </si>
  <si>
    <t>Results of Corrective Actions</t>
  </si>
  <si>
    <t>Follow up Actions (if required)</t>
  </si>
  <si>
    <t>Verification/Review Outcome</t>
  </si>
  <si>
    <t>Conduct re-signoff of Q4 2024 access reviews and complete documentation</t>
  </si>
  <si>
    <t>Access Control Log restructured during PIMS implementation to separate PII and non-PII systems per ISO 27701 requirements. New quarterly review process established and first review completed October 2025 with full documentation. Previous gap addressed through enhanced process implementation.</t>
  </si>
  <si>
    <t>verify completed</t>
  </si>
  <si>
    <t>Verified: Enhanced Access Control Log implemented with PII/non-PII separation. October 2025 quarterly review documented and complete. Improved process prevents future documentation gaps. Next review scheduled Q1 2026.</t>
  </si>
  <si>
    <t>Formalize documentation of IR drill in ISMS Workbook</t>
  </si>
  <si>
    <t>Retrain personel w respect to log entry of approvals and change log in Workbook</t>
  </si>
  <si>
    <t xml:space="preserve">Verified: Training completed during team meeting. Document Content Register reviewed and confirmed all entries now include approval timestamps and change log. Personnel demonstrate understanding of requirements. </t>
  </si>
  <si>
    <t>Ext Audit: OFI-Opportunity for improvement: It is advisable to evaluate business partners as part of the supplier assessment process</t>
  </si>
  <si>
    <t xml:space="preserve">Business partners assessment sheet created and completed. </t>
  </si>
  <si>
    <t>F005</t>
  </si>
  <si>
    <t>Ext. Audit: OFI-Opportunity for improvement:It is advisable to implement a formal review of user access rights</t>
  </si>
  <si>
    <t>CA005</t>
  </si>
  <si>
    <t>Access Register finalized with all users documented. Unnecessary access removed. Entra Admin Center access restricted to admins only (verified in Entra). Quarterly access review cycle established and documented in Access Management Process. First quarterly review completed. OFI fully addressed.</t>
  </si>
  <si>
    <t>F006</t>
  </si>
  <si>
    <t>Ext. Audit: OFI-Opportunity for improvement:It is advisable to define specific rules or maintain allow/deny lists for software usage</t>
  </si>
  <si>
    <t>CA006</t>
  </si>
  <si>
    <t>As ChatGPT is used within the org, it must be classified as a third-party service, documented within the list of used systems/tools, covered by a usage policy outlining how it is used and what controls are in place.</t>
  </si>
  <si>
    <t>Verified: Software Allow/Deny List implemented in DOC003 section 3.25. AI tools (ChatGPT, Claude, Gemini) documented in Vendor Register with usage restrictions. AI usage policy (DOC003 section 3.24) confirmed prohibits PII processing. Formal software governance controls established. OFI fully addressed.</t>
  </si>
  <si>
    <t>F007</t>
  </si>
  <si>
    <t>Ext. Audit: OFI-Opportunity for improvement: It is advisable to include an overview of audited clauses or controls in audit reports to ensure higher traceability and completeness of the audit record.</t>
  </si>
  <si>
    <t>CA007</t>
  </si>
  <si>
    <t>documents the outcome of the corrective actions taken (whether they were successful or not). For example, it could state if the corrective action resolved the issue or if further actions are needed</t>
  </si>
  <si>
    <t>If needed, additional actions to monitor the effectiveness or further improve the corrective action.</t>
  </si>
  <si>
    <t>Evidence that the corrective action has been reviewed and verified for effectiveness. This may be a review or validation step to ensure the nonconformity is permanently addressed.</t>
  </si>
  <si>
    <t xml:space="preserve">Test ID </t>
  </si>
  <si>
    <t>Test Date</t>
  </si>
  <si>
    <t>Tester</t>
  </si>
  <si>
    <t>Risk Level</t>
  </si>
  <si>
    <t>Remediation Actions</t>
  </si>
  <si>
    <t>Follow up Date</t>
  </si>
  <si>
    <t>Currently only a place holder</t>
  </si>
  <si>
    <t>Vendor Name</t>
  </si>
  <si>
    <t>Service Provided</t>
  </si>
  <si>
    <t>Vendor Category</t>
  </si>
  <si>
    <t>Data Subject Categories</t>
  </si>
  <si>
    <t>Data Shared</t>
  </si>
  <si>
    <t>Data Location</t>
  </si>
  <si>
    <t>DPA signed</t>
  </si>
  <si>
    <t>Risk level</t>
  </si>
  <si>
    <t xml:space="preserve">Security Controls in Place </t>
  </si>
  <si>
    <t>Compliance Certs</t>
  </si>
  <si>
    <t>Last Risk Review Date</t>
  </si>
  <si>
    <t>Next Planned Review Date</t>
  </si>
  <si>
    <t>Xeltec</t>
  </si>
  <si>
    <t>Custom Software Development/Dedicated Flutter Engineer</t>
  </si>
  <si>
    <t>Professional Service</t>
  </si>
  <si>
    <t>Employees (Arion team contacts only)</t>
  </si>
  <si>
    <t>Personal Identifiers (Arion employee names and emails as contacts), fictional test data</t>
  </si>
  <si>
    <t>Czech Republic (temporary processing from Pakistan, no storage permitted)</t>
  </si>
  <si>
    <t>Yes- executed (signed 15.8.2025)</t>
  </si>
  <si>
    <t>NDA and DPA, MFA required, TLS 1.2+ encryption, RBAC access control, company-managed devices only, no data storage permitted, SCCs Module 2 legal safeguard</t>
  </si>
  <si>
    <t>27001, GDPR compliance procedures implemented</t>
  </si>
  <si>
    <t>MSA with Xeltec terminated on Feb 24th 2026</t>
  </si>
  <si>
    <t>Microsoft Corporation</t>
  </si>
  <si>
    <t>Email, Teams collaboartion, non-confidential documents storage, Azure</t>
  </si>
  <si>
    <t>PII Processor</t>
  </si>
  <si>
    <t>Employees, Clients, Contractors, Prospects</t>
  </si>
  <si>
    <t>Contact data (names, emails, phone numbers), email content and attachments, Teams chat/meeting content, non-confidential documents (Public, Internal Use Only)</t>
  </si>
  <si>
    <t>EU/EFTA (for EU Data Boundary Services) - per Microsoft DPA September 2025</t>
  </si>
  <si>
    <t>Yes - standard DPA via Service Terms</t>
  </si>
  <si>
    <t>Enterprise-grade encryption, MFA, access controls, audit logging</t>
  </si>
  <si>
    <t>ISO 27001, ISO 27002, ISO 27018, GDPR Compliant, EU-US Data Privacy Framework certified</t>
  </si>
  <si>
    <t>Odoo SA</t>
  </si>
  <si>
    <t>ERP/CRM platform hosting, HR management, contract storage</t>
  </si>
  <si>
    <t>HR data (employment records), contract data and financial information, personal identifiers and contact details, confidential/restricted business data</t>
  </si>
  <si>
    <t>EU (Belgium) - per Odoo privacy policy</t>
  </si>
  <si>
    <t>Yes - Integrated in Enterprise Subscription Agreement</t>
  </si>
  <si>
    <t>Medium (sensitive HR and contract data)</t>
  </si>
  <si>
    <t>DPA compliance, appropriate technical and organizational measures, confidentiality commitments, breach notification (promptly), audit rights, subprocessor agreements</t>
  </si>
  <si>
    <t>No formal certifications (follows industry best practices, GDPR compliant)</t>
  </si>
  <si>
    <t>Cloudflare, Inc.</t>
  </si>
  <si>
    <t>reverse proxy/security</t>
  </si>
  <si>
    <t>Security &amp; Performance Service Provider</t>
  </si>
  <si>
    <t>Website visitors</t>
  </si>
  <si>
    <t>IP addresses, browser type/version, operating system, referrer URL, hostname, timestamp of requests</t>
  </si>
  <si>
    <t>Global (EU/US) - EU-US Data Privacy Framework certified</t>
  </si>
  <si>
    <t>Yes - Standard DPA via Terms of Service (automatically applicable)</t>
  </si>
  <si>
    <t>ISO/IEC 27001 &amp; 27701 certified; Zero-trust access model; AES-256 encryption; TLS 1.2+ for data in transit; MFA enforced; Geographically distributed data centers; Automated security monitoring; Regular penetration testing; Bug bounty program</t>
  </si>
  <si>
    <t>ISO/IEC 27001, ISO/IEC 27701, SOC 2 Type II, PCI DSS Level 1, EU-US Data Privacy Framework, Global CBPR &amp; PRP System</t>
  </si>
  <si>
    <t>Verpex (Website hosting provider)</t>
  </si>
  <si>
    <t>web hosting and email hosting</t>
  </si>
  <si>
    <t>IT Service Provider / Subprocessor</t>
  </si>
  <si>
    <t>Business contacts, employees, website visitors</t>
  </si>
  <si>
    <t>Contact form data, email communications, server logs (IP, browser)</t>
  </si>
  <si>
    <t>Germany</t>
  </si>
  <si>
    <t>TLS encryption, SCCs Module 2, Technical &amp; organizational measures per GDPR Art 32</t>
  </si>
  <si>
    <t xml:space="preserve">ISO 27001 </t>
  </si>
  <si>
    <t>Jake&amp;James Accounting s.r.o.</t>
  </si>
  <si>
    <t>Bookkeeping, tax compliance, payroll processing (CEO DPP), invoice management, financial reporting</t>
  </si>
  <si>
    <t>CEO (DPP payroll), Business contacts (from issued/received invoices)</t>
  </si>
  <si>
    <t>Personal identifiers (name, birth date, address, email, phone, bank account, personal ID number for payroll), Company ID, VAT numbers, invoice data, bank statements, credit card transactions</t>
  </si>
  <si>
    <t xml:space="preserve">Czech Republic  </t>
  </si>
  <si>
    <t xml:space="preserve">Yes - SPÚS (Czech DPA equivalent) </t>
  </si>
  <si>
    <t>GDPR-trained personnel with confidentiality obligations, immediate incident notification, documented technical and organizational measures per GDPR Art. 32, access limited to authorized personnel only, third-party engagement requires 5-day prior notice, data processed exclusively for bookkeeping/payroll purposes, documentation available within 15 days upon request. Subprocessor: VSHosting s.r.o. (ISO 27001 certified data center in Prague - server hosting, daily backups, 99.5% availability, 24/7 physical security, encrypted storage, DDoS protection).</t>
  </si>
  <si>
    <t>Jake&amp;James: No ISO certification. Subprocessor VSHosting s.r.o.: ISO 27001 certified</t>
  </si>
  <si>
    <t>AI Assistant Platforms (ChatGPT, Claude, Gemini)</t>
  </si>
  <si>
    <t>AI assistants for research, technical questions, and professional development</t>
  </si>
  <si>
    <t xml:space="preserve">IT Service  </t>
  </si>
  <si>
    <t>N/A - No PII processed</t>
  </si>
  <si>
    <t>Public information only, anonymized examples</t>
  </si>
  <si>
    <t>USA</t>
  </si>
  <si>
    <t>No - Standard ToS only. 
https://openai.com/policies/terms-of-use/
https://www.anthropic.com/legal/consumer-terms
https://policies.google.com/terms</t>
  </si>
  <si>
    <t>Data classification policy enforcement per DOC003 section 3.24, user training, incident reporting required, PII processing strictly prohibited</t>
  </si>
  <si>
    <t>BUSINESS PARTNERS ASSESSMENT</t>
  </si>
  <si>
    <r>
      <t>Purpose:</t>
    </r>
    <r>
      <rPr>
        <sz val="11"/>
        <color theme="1"/>
        <rFont val="Calibri"/>
        <family val="2"/>
        <scheme val="minor"/>
      </rPr>
      <t xml:space="preserve"> Annual security compliance assessment for co-founders/equity partners who have access to PII systems but are not employees or contractors with formal employment agreements.</t>
    </r>
  </si>
  <si>
    <r>
      <t>Scope:</t>
    </r>
    <r>
      <rPr>
        <sz val="11"/>
        <color theme="1"/>
        <rFont val="Calibri"/>
        <family val="2"/>
        <scheme val="minor"/>
      </rPr>
      <t xml:space="preserve"> Applies to business partners with only NDA (no employment contract or service agreement).</t>
    </r>
  </si>
  <si>
    <r>
      <t>Frequency:</t>
    </r>
    <r>
      <rPr>
        <sz val="11"/>
        <color theme="1"/>
        <rFont val="Calibri"/>
        <family val="2"/>
        <scheme val="minor"/>
      </rPr>
      <t xml:space="preserve"> Annual assessment + quarterly BYOD attestation tracking</t>
    </r>
  </si>
  <si>
    <r>
      <rPr>
        <b/>
        <sz val="11"/>
        <color rgb="FF000000"/>
        <rFont val="Calibri"/>
      </rPr>
      <t>Requirements:</t>
    </r>
    <r>
      <rPr>
        <sz val="11"/>
        <color rgb="FF000000"/>
        <rFont val="Calibri"/>
      </rPr>
      <t xml:space="preserve"> NDA, Access Registry entry, Security Training, BYOD compliance</t>
    </r>
  </si>
  <si>
    <t xml:space="preserve">Partner Name </t>
  </si>
  <si>
    <t>Assessment Date</t>
  </si>
  <si>
    <t>NDA signed</t>
  </si>
  <si>
    <t>Access Registry</t>
  </si>
  <si>
    <t>Training Completed</t>
  </si>
  <si>
    <t>BYOD Attestation</t>
  </si>
  <si>
    <t>Overall Status</t>
  </si>
  <si>
    <t>Assessed By</t>
  </si>
  <si>
    <t>Next Review</t>
  </si>
  <si>
    <t>Joseph Mutua Kamula</t>
  </si>
  <si>
    <t>Yusuf Yusufov</t>
  </si>
  <si>
    <t>BCDR ID</t>
  </si>
  <si>
    <t xml:space="preserve">Plan Name </t>
  </si>
  <si>
    <t>Date Last Updated</t>
  </si>
  <si>
    <t>Critical Systems Covered</t>
  </si>
  <si>
    <t>Recover Objectives</t>
  </si>
  <si>
    <t>Backup Location</t>
  </si>
  <si>
    <t>Exercise Type</t>
  </si>
  <si>
    <t>Scenario Tested</t>
  </si>
  <si>
    <t>Issues Identified</t>
  </si>
  <si>
    <t>Action Items</t>
  </si>
  <si>
    <t>Tabletop</t>
  </si>
  <si>
    <t>RTO/RPO</t>
  </si>
  <si>
    <t xml:space="preserve">Drill </t>
  </si>
  <si>
    <t>Full Test</t>
  </si>
  <si>
    <t>Document Review</t>
  </si>
  <si>
    <t>Review Quarter</t>
  </si>
  <si>
    <t>Reviewer</t>
  </si>
  <si>
    <t>Details</t>
  </si>
  <si>
    <t>Findings Summary</t>
  </si>
  <si>
    <t>High Risk Issues?</t>
  </si>
  <si>
    <t>Remidiation Actions?</t>
  </si>
  <si>
    <t>Follow up Required?</t>
  </si>
  <si>
    <t>Supporting Documentation/Links</t>
  </si>
  <si>
    <t>Cryptography (encryption of PII)</t>
  </si>
  <si>
    <t>Is encryption enabled on all PII systems (databases, backups, transmission)? • Are encryption keys properly managed and rotated? • Any encryption failures or incidents this quarter? • Compliance with PII encryption requirements per policy? • Encryption audit logs reviewed?</t>
  </si>
  <si>
    <t>Access Mng Review</t>
  </si>
  <si>
    <t>Were quarterly access reviews completed on schedule? • How many accounts were deactivated/removed? • Is MFA functioning on all systems? • Are new permissions properly granted? • Is Access Review Log complete?</t>
  </si>
  <si>
    <t>Obsolete user present.</t>
  </si>
  <si>
    <t>No</t>
  </si>
  <si>
    <t>Clean-up obsolete users</t>
  </si>
  <si>
    <t>Security Incidents and PII Restorations</t>
  </si>
  <si>
    <t xml:space="preserve"> How many security incidents this quarter? • Were all incidents handled within SLA? • Number of PII restoration events and reasons? • Is PII restoration logging complete? • Is Incident Log current?</t>
  </si>
  <si>
    <t>System Health &amp; Monitoring</t>
  </si>
  <si>
    <t>Were all monthly backup monitoring checks completed? • Is antivirus/malware protection current? • Are systems up-to-date? • Is Monitoring Log complete for quarter? • Any prolonged outages?</t>
  </si>
  <si>
    <t>Training &amp; Awareness</t>
  </si>
  <si>
    <t>Security training completion rates? • Were new policies communicated? • Phishing test results? • Are Training Records current? • Need for additional training?</t>
  </si>
  <si>
    <t>Risk &amp; Compliance</t>
  </si>
  <si>
    <t xml:space="preserve"> Risk register reviewed and updated? • Risk treatment actions completed per plan? • New risks identified? • Compliance tracking current? • Legal/regulatory changes?</t>
  </si>
  <si>
    <t>PIMS/Privacy Compliance</t>
  </si>
  <si>
    <t>Any GDPR incidents or complaints? • Data subject requests handled properly? • Privacy policy current? • Cross-border transfer compliance? • DPIA updates needed?  •Temporary files containing PII disposed of within 90 days? (Sample verification from 2-3 employees)</t>
  </si>
  <si>
    <t>Vendor &amp; Third-Party Security</t>
  </si>
  <si>
    <t>Vendor security assessments current? • DPAs signed and current? • Third-party incidents affecting us? • Vendor risk register updated? • New vendors properly assessed?</t>
  </si>
  <si>
    <t>Documentation &amp; Audit Readiness</t>
  </si>
  <si>
    <t xml:space="preserve"> ISMS documentation current? • Internal audit findings resolved? • External audit preparation ready? • Document version control OK? • Evidence collection complete?</t>
  </si>
  <si>
    <t>Network Security Review</t>
  </si>
  <si>
    <t>Cloud provider security status verified (Microsoft, Azure, Odoo)
- Network security controls effectiveness confirmed
- No security incidents affecting network infrastructure
- Encryption in transit verified for PII systems</t>
  </si>
  <si>
    <t>AI Governance Compliance Check</t>
  </si>
  <si>
    <t>Review AI policy compliance incidents
- Check for new AI platforms used by team
- Verify training completion rates
- Update AI platform ToS review
- Risk register AI entries review
- Document any policy updates needed</t>
  </si>
  <si>
    <t>Employees ID</t>
  </si>
  <si>
    <t>Employee Name</t>
  </si>
  <si>
    <t>Role</t>
  </si>
  <si>
    <t>Competency Area</t>
  </si>
  <si>
    <t>Evaluation Date</t>
  </si>
  <si>
    <t>Assesment Score</t>
  </si>
  <si>
    <t>Training Required</t>
  </si>
  <si>
    <t>Certification Name</t>
  </si>
  <si>
    <t>Certification Expiry Date</t>
  </si>
  <si>
    <t>Next Revirew Date</t>
  </si>
  <si>
    <t>Skills/Knowledge</t>
  </si>
  <si>
    <t>Experience/Certification</t>
  </si>
  <si>
    <t>Sufficient/Insufficient</t>
  </si>
  <si>
    <t>yes/no</t>
  </si>
  <si>
    <t>Experience</t>
  </si>
  <si>
    <t>1.1.2025</t>
  </si>
  <si>
    <t>Sufficient</t>
  </si>
  <si>
    <t>1.12025</t>
  </si>
  <si>
    <t>ongoing</t>
  </si>
  <si>
    <t>TBD</t>
  </si>
  <si>
    <t xml:space="preserve">System/Application Name </t>
  </si>
  <si>
    <t>Users Reviewed</t>
  </si>
  <si>
    <t>Notes/Comments</t>
  </si>
  <si>
    <t>M365</t>
  </si>
  <si>
    <t>All users</t>
  </si>
  <si>
    <t>13 unactive accounts disabled and deleted</t>
  </si>
  <si>
    <t>Paolo Tzolovski Encheva</t>
  </si>
  <si>
    <t>account disabled</t>
  </si>
  <si>
    <t>stopped working with us</t>
  </si>
  <si>
    <t>Hassan Zafar</t>
  </si>
  <si>
    <t>project completed</t>
  </si>
  <si>
    <t>User ID</t>
  </si>
  <si>
    <t>Name</t>
  </si>
  <si>
    <t>System/Application</t>
  </si>
  <si>
    <t>Role in System</t>
  </si>
  <si>
    <t>Access Rights</t>
  </si>
  <si>
    <t>Scope to PII</t>
  </si>
  <si>
    <t>PII Role</t>
  </si>
  <si>
    <t>Data Accuracy Check</t>
  </si>
  <si>
    <t>Authorized By</t>
  </si>
  <si>
    <t>PII Approver</t>
  </si>
  <si>
    <t>Date Granted</t>
  </si>
  <si>
    <t>Date of Revoke</t>
  </si>
  <si>
    <t>PII Review Date Quarterly</t>
  </si>
  <si>
    <t>Azure AD Portal</t>
  </si>
  <si>
    <t>Global Administrator</t>
  </si>
  <si>
    <t>Full admin access to all Azure AD and M365 services, user management, security settings</t>
  </si>
  <si>
    <t>Full PII</t>
  </si>
  <si>
    <t>Privileged</t>
  </si>
  <si>
    <t>DPO</t>
  </si>
  <si>
    <t>Global Administrator + 8 other admin roles</t>
  </si>
  <si>
    <t>Full admin access to Azure AD, Exchange, SharePoint, Teams, user management, helpdesk</t>
  </si>
  <si>
    <t>amit.s@labguide.io</t>
  </si>
  <si>
    <t>Amit Singh</t>
  </si>
  <si>
    <t>Member</t>
  </si>
  <si>
    <t>User Administrator, SharePoint Admin, Teams Admin, Global Reader</t>
  </si>
  <si>
    <t>User management, SharePoint/Teams admin, read-all permissions</t>
  </si>
  <si>
    <t>Member, Standard User</t>
  </si>
  <si>
    <t>Email, Teams, OneDrive, Calendar</t>
  </si>
  <si>
    <t>Basic PII</t>
  </si>
  <si>
    <t>Regular User</t>
  </si>
  <si>
    <t>albert.z@labguide.io</t>
  </si>
  <si>
    <t>Albert Zagrobski</t>
  </si>
  <si>
    <t>andriy.d@labguide.io</t>
  </si>
  <si>
    <t>Andryi Dzedolik</t>
  </si>
  <si>
    <t>tomas.k@labguide.io</t>
  </si>
  <si>
    <t>Tomas Komarek</t>
  </si>
  <si>
    <t>M366</t>
  </si>
  <si>
    <t>joseph.c@labguide.io</t>
  </si>
  <si>
    <t>Joseph Coleman</t>
  </si>
  <si>
    <t>registration@</t>
  </si>
  <si>
    <t>Full access (delegation)</t>
  </si>
  <si>
    <t>Can read and send from shared mailbox</t>
  </si>
  <si>
    <t>training@</t>
  </si>
  <si>
    <t>Odoo</t>
  </si>
  <si>
    <t>Admin</t>
  </si>
  <si>
    <t>Full</t>
  </si>
  <si>
    <t>Limited</t>
  </si>
  <si>
    <t>Sharepoint - labguide (Team site)</t>
  </si>
  <si>
    <t>Full control/manage/approve ISO docs</t>
  </si>
  <si>
    <t>Partial PII</t>
  </si>
  <si>
    <t>Full control</t>
  </si>
  <si>
    <t xml:space="preserve">Member </t>
  </si>
  <si>
    <t>Read only access to ISO docs</t>
  </si>
  <si>
    <t>training@labguide.io</t>
  </si>
  <si>
    <t>Jo?</t>
  </si>
  <si>
    <t>labs_admin@</t>
  </si>
  <si>
    <t>Metric Name</t>
  </si>
  <si>
    <t>Category</t>
  </si>
  <si>
    <t>Baseline Value</t>
  </si>
  <si>
    <t>Current Value</t>
  </si>
  <si>
    <t>Target/Goals</t>
  </si>
  <si>
    <t>Number of Incidents /year</t>
  </si>
  <si>
    <t>Number of Non- Conformities per year</t>
  </si>
  <si>
    <t>Number of days Training System unavailable / year</t>
  </si>
  <si>
    <t>To be reviewed once per year</t>
  </si>
  <si>
    <t>Nature of the Party</t>
  </si>
  <si>
    <t>Interest/Concern</t>
  </si>
  <si>
    <t>ISMS Requirement</t>
  </si>
  <si>
    <t>Communication Method</t>
  </si>
  <si>
    <t>Job environment security, data protection, performance</t>
  </si>
  <si>
    <t>Policies, training, awareness</t>
  </si>
  <si>
    <t>Internal newsletters, training</t>
  </si>
  <si>
    <t>Management</t>
  </si>
  <si>
    <t>Risk mitigation, Business continuity</t>
  </si>
  <si>
    <t>Risk treatment plan, KPI alignment</t>
  </si>
  <si>
    <t>Reports, management reviews</t>
  </si>
  <si>
    <t>System integrity, availability, confidentiality</t>
  </si>
  <si>
    <t>Technical controls, incident response</t>
  </si>
  <si>
    <t>Internal meetings, documentation</t>
  </si>
  <si>
    <t>Internal Auditors</t>
  </si>
  <si>
    <t>Compliance and control effectiveness</t>
  </si>
  <si>
    <t>Audit program, evidence availability</t>
  </si>
  <si>
    <t>Audit reports, briefings</t>
  </si>
  <si>
    <t>Clients/Customers</t>
  </si>
  <si>
    <t>Data confidentiality, service quality</t>
  </si>
  <si>
    <t>SLA compliance, encryption, access control</t>
  </si>
  <si>
    <t>Contracts, support channels</t>
  </si>
  <si>
    <t>Regulatory Bodies</t>
  </si>
  <si>
    <t>Legal and compliance adherence</t>
  </si>
  <si>
    <t>Compliance with GDPR, MS SSPA, etc.</t>
  </si>
  <si>
    <t>Legal filings, audit submissions</t>
  </si>
  <si>
    <t>Secure access, third-party management</t>
  </si>
  <si>
    <t>NDA, access control, supplier agreements</t>
  </si>
  <si>
    <t>Contracts, onboarding procedures</t>
  </si>
  <si>
    <t>Financial risk, brand reputation</t>
  </si>
  <si>
    <t>Business continuity planning, risk management</t>
  </si>
  <si>
    <t>Reports, board meetings</t>
  </si>
  <si>
    <t>Insurance Providers</t>
  </si>
  <si>
    <t>Controls and starndards that ensure cybersecurity risk</t>
  </si>
  <si>
    <t>Controls that diminsh confidentiality risk</t>
  </si>
  <si>
    <t>External audit reports</t>
  </si>
  <si>
    <t>Partners</t>
  </si>
  <si>
    <t>Assurance of secure collaboration or data exchange</t>
  </si>
  <si>
    <t>Policies and risks that ensure confidential relationship</t>
  </si>
  <si>
    <t>Requirement Name</t>
  </si>
  <si>
    <t>Relevant Authority</t>
  </si>
  <si>
    <t>Comm. channels</t>
  </si>
  <si>
    <t>Description and Security Obligations</t>
  </si>
  <si>
    <t>Compliance Measures</t>
  </si>
  <si>
    <t>Responsible Owner</t>
  </si>
  <si>
    <t xml:space="preserve">NEW Cybersecurity Act (NIS 2 transposition, 2024 draft) </t>
  </si>
  <si>
    <t>Chamber of Deputies</t>
  </si>
  <si>
    <t>cert.incident@nukib.gov.cz</t>
  </si>
  <si>
    <t>Extends cybersecurity duties, due mid-2025</t>
  </si>
  <si>
    <t>Incident response plan in place; regular internal audits.</t>
  </si>
  <si>
    <t>Act No. 181/2014 Coll., on Cyber Security</t>
  </si>
  <si>
    <t>NUKIB</t>
  </si>
  <si>
    <t>cert.incident@nukib.gov.cz, www.iso.org</t>
  </si>
  <si>
    <t>Sets risk-management, reporting and security-measure duties for essential-service operators, CII and selected DSPs</t>
  </si>
  <si>
    <t>perform risk assessments annually, incident reporting to NUKIB</t>
  </si>
  <si>
    <t xml:space="preserve">Decree No. 82/2018 Coll.(Cybersecurity Decree) </t>
  </si>
  <si>
    <t xml:space="preserve">Technical specification of the security measures required by Act 181/2014. </t>
  </si>
  <si>
    <t xml:space="preserve"> Incident response plan in place; regular internal audits.</t>
  </si>
  <si>
    <t>GDPR (General Data Protection Regulation)</t>
  </si>
  <si>
    <t>Urad pro ochranu osobnich udaju (Office for Personal Data Protection)</t>
  </si>
  <si>
    <t>posta@uoou.gov.cz</t>
  </si>
  <si>
    <t>Protection of personal data, rights of data subjects, secure processing, breach notification (72 hours).</t>
  </si>
  <si>
    <t>Information security and data management policy and process</t>
  </si>
  <si>
    <t>Act No. 110/2019 Coll</t>
  </si>
  <si>
    <t>Link to the law</t>
  </si>
  <si>
    <t>On the Processing of Personal Data, aligning Czech law with the General Data Protection Regulation (GDPR).</t>
  </si>
  <si>
    <t xml:space="preserve">Act No. 127/2005 Coll., on Electronic Communications </t>
  </si>
  <si>
    <t>CTU</t>
  </si>
  <si>
    <t>podatelna@ctu.cz</t>
  </si>
  <si>
    <t xml:space="preserve">e-Privacy rules including data retention. </t>
  </si>
  <si>
    <t>Intellectual Property Law (Act No. 121/2000 Coll. on Copyright)</t>
  </si>
  <si>
    <t>Financni Analytický urad (Czech Financial Analytical Unit)</t>
  </si>
  <si>
    <t>Electronic form for submitting Data box ID: egi8zyh</t>
  </si>
  <si>
    <t>Protects any intellectual property associated with your custom solutions, training materials, or software.</t>
  </si>
  <si>
    <t>Internal procedures to respect copyright</t>
  </si>
  <si>
    <t xml:space="preserve">Act No. 480/2004 Coll., on Certain Information-Society Services </t>
  </si>
  <si>
    <t>MPO</t>
  </si>
  <si>
    <t>posta@mpo.cz</t>
  </si>
  <si>
    <t xml:space="preserve">Covers spam rules and ISP liabilities. </t>
  </si>
  <si>
    <t xml:space="preserve">Act No. 499/2004 Coll., on Archiving &amp; Records Management </t>
  </si>
  <si>
    <t>National Archives</t>
  </si>
  <si>
    <t>posta@na.gov.cz</t>
  </si>
  <si>
    <t xml:space="preserve">Rules for mandatory record retention. </t>
  </si>
  <si>
    <t>ISO/IEC 27001:2022 (Information Security Management System)</t>
  </si>
  <si>
    <t>https://unmz.gov.cz/</t>
  </si>
  <si>
    <t xml:space="preserve">unmz@unmz.cz </t>
  </si>
  <si>
    <t xml:space="preserve">Defines the requirements for establishing, implementing, maintaining, and continually improving an ISMS. </t>
  </si>
  <si>
    <t>Implemented and maintained ISMS</t>
  </si>
  <si>
    <t>Microsoft SSPA (Supplier Security &amp; Privacy Assurance)</t>
  </si>
  <si>
    <t>https://microsoft.aravo.com/aems/home/supplier/#/supplierhome/home         sspahelp@microsoft.com</t>
  </si>
  <si>
    <t>contact via ticket in MSFT supplier portal or email</t>
  </si>
  <si>
    <t>Compliance requirements for handling Microsoft data (ISO 27001-based).</t>
  </si>
  <si>
    <t>SSPA periodic attestation</t>
  </si>
  <si>
    <t>after PIMS cert is issued</t>
  </si>
  <si>
    <t xml:space="preserve">Act No. 365/2000 Coll., on Public-Administration Information Systems </t>
  </si>
  <si>
    <t>Zakony pro lidi</t>
  </si>
  <si>
    <t> info@zakonyprolidi.cz</t>
  </si>
  <si>
    <t xml:space="preserve">Applies to systems used by Czech public bodies. </t>
  </si>
  <si>
    <t>Currently not bidding govt contracts or supplying services to govt, nor integrating w govt systems, but aware and paying attention to this for potential future implementation</t>
  </si>
  <si>
    <t>Used?</t>
  </si>
  <si>
    <t>Last Used Action ID</t>
  </si>
  <si>
    <t>AC001</t>
  </si>
  <si>
    <t>Asset_Types</t>
  </si>
  <si>
    <t>Risk_Owner</t>
  </si>
  <si>
    <t>AC003</t>
  </si>
  <si>
    <t>AC004</t>
  </si>
  <si>
    <t>AC005</t>
  </si>
  <si>
    <t>AC006</t>
  </si>
  <si>
    <t>AC007</t>
  </si>
  <si>
    <t>AC008</t>
  </si>
  <si>
    <t>AC009</t>
  </si>
  <si>
    <t>AC011</t>
  </si>
  <si>
    <t>AC012</t>
  </si>
  <si>
    <t>AC013</t>
  </si>
  <si>
    <t>AC014</t>
  </si>
  <si>
    <t>AC018</t>
  </si>
  <si>
    <t>AC020</t>
  </si>
  <si>
    <t>AC021</t>
  </si>
  <si>
    <t>AC022</t>
  </si>
  <si>
    <t>AC023</t>
  </si>
  <si>
    <t>AC024</t>
  </si>
  <si>
    <t>AC025</t>
  </si>
  <si>
    <t>AC026</t>
  </si>
  <si>
    <t>AC027</t>
  </si>
  <si>
    <t>AC028</t>
  </si>
  <si>
    <t>AC029</t>
  </si>
  <si>
    <t>AC030</t>
  </si>
  <si>
    <t>AC031</t>
  </si>
  <si>
    <t>AC032</t>
  </si>
  <si>
    <t>AC033</t>
  </si>
  <si>
    <t>AC034</t>
  </si>
  <si>
    <t>AC035</t>
  </si>
  <si>
    <t>AC036</t>
  </si>
  <si>
    <t>AC037</t>
  </si>
  <si>
    <t>AC038</t>
  </si>
  <si>
    <t>AC039</t>
  </si>
  <si>
    <t>AC040</t>
  </si>
  <si>
    <t>AC041</t>
  </si>
  <si>
    <t>AC042</t>
  </si>
  <si>
    <t>AC043</t>
  </si>
  <si>
    <t>AC044</t>
  </si>
  <si>
    <t>AC045</t>
  </si>
  <si>
    <t>AC046</t>
  </si>
  <si>
    <t>AC047</t>
  </si>
  <si>
    <t>AC048</t>
  </si>
  <si>
    <t>AC049</t>
  </si>
  <si>
    <t>AC050</t>
  </si>
  <si>
    <t>AC051</t>
  </si>
  <si>
    <t>AC052</t>
  </si>
  <si>
    <t>AC053</t>
  </si>
  <si>
    <t>AC054</t>
  </si>
  <si>
    <t>AC055</t>
  </si>
  <si>
    <t>AC056</t>
  </si>
  <si>
    <t>AC057</t>
  </si>
  <si>
    <t>AC058</t>
  </si>
  <si>
    <t>AC059</t>
  </si>
  <si>
    <t>AC060</t>
  </si>
  <si>
    <t>AC061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</si>
</sst>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mmmm\ d\,\ yyyy;@"/>
    <numFmt numFmtId="165" formatCode="[$-409]d\-mmm\-yy;@"/>
    <numFmt numFmtId="166" formatCode="[$-409]dd\-mmm\-yy;@"/>
    <numFmt numFmtId="167" formatCode="[$-409]mmm\-yy;@"/>
    <numFmt numFmtId="168" formatCode="yyyy\-mm\-dd;@"/>
  </numFmts>
  <fonts count="55">
    <font>
      <sz val="11"/>
      <color theme="1"/>
      <name val="Calibri"/>
      <family val="2"/>
      <scheme val="minor"/>
    </font>
    <font>
      <sz val="11"/>
      <color theme="1"/>
      <name val="Calibri"/>
      <scheme val="minor"/>
    </font>
    <font>
      <sz val="12"/>
      <color theme="1"/>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1"/>
      <color rgb="FF000000"/>
      <name val="Calibri"/>
      <family val="2"/>
      <scheme val="minor"/>
    </font>
    <font>
      <b/>
      <sz val="12"/>
      <color rgb="FF000000"/>
      <name val="Calibri"/>
      <family val="2"/>
      <scheme val="minor"/>
    </font>
    <font>
      <b/>
      <sz val="16"/>
      <color theme="1"/>
      <name val="Calibri"/>
      <family val="2"/>
      <scheme val="minor"/>
    </font>
    <font>
      <b/>
      <sz val="14"/>
      <color rgb="FF000000"/>
      <name val="Calibri"/>
      <family val="2"/>
      <scheme val="minor"/>
    </font>
    <font>
      <u/>
      <sz val="11"/>
      <color theme="10"/>
      <name val="Calibri"/>
      <family val="2"/>
      <scheme val="minor"/>
    </font>
    <font>
      <b/>
      <sz val="14"/>
      <color theme="1"/>
      <name val="Calibri"/>
      <family val="2"/>
      <scheme val="minor"/>
    </font>
    <font>
      <b/>
      <sz val="20"/>
      <color theme="1"/>
      <name val="Calibri"/>
      <family val="2"/>
      <scheme val="minor"/>
    </font>
    <font>
      <b/>
      <sz val="22"/>
      <color theme="1"/>
      <name val="Calibri"/>
      <family val="2"/>
      <scheme val="minor"/>
    </font>
    <font>
      <sz val="22"/>
      <color theme="1"/>
      <name val="Calibri"/>
      <family val="2"/>
      <scheme val="minor"/>
    </font>
    <font>
      <u/>
      <sz val="22"/>
      <color theme="10"/>
      <name val="Calibri"/>
      <family val="2"/>
      <scheme val="minor"/>
    </font>
    <font>
      <b/>
      <sz val="11"/>
      <color rgb="FF000000"/>
      <name val="Calibri"/>
      <family val="2"/>
      <scheme val="minor"/>
    </font>
    <font>
      <sz val="11"/>
      <color rgb="FF000000"/>
      <name val="Calibri"/>
      <family val="2"/>
      <charset val="1"/>
    </font>
    <font>
      <b/>
      <sz val="11"/>
      <color rgb="FF000000"/>
      <name val="Calibri"/>
      <family val="2"/>
    </font>
    <font>
      <b/>
      <sz val="10"/>
      <color theme="1"/>
      <name val="Symbol"/>
      <family val="5"/>
      <charset val="1"/>
    </font>
    <font>
      <sz val="10"/>
      <color rgb="FF000000"/>
      <name val="Tahoma"/>
      <family val="2"/>
    </font>
    <font>
      <b/>
      <sz val="11"/>
      <color rgb="FFFFFFFF"/>
      <name val="Calibri"/>
      <family val="2"/>
    </font>
    <font>
      <sz val="11"/>
      <color rgb="FF000000"/>
      <name val="Calibri"/>
      <family val="2"/>
    </font>
    <font>
      <b/>
      <sz val="11"/>
      <color theme="0"/>
      <name val="Calibri"/>
      <family val="2"/>
    </font>
    <font>
      <b/>
      <sz val="11"/>
      <color theme="0"/>
      <name val="Calibri"/>
      <family val="2"/>
      <scheme val="minor"/>
    </font>
    <font>
      <b/>
      <sz val="10"/>
      <color rgb="FF000000"/>
      <name val="Tahoma"/>
      <family val="2"/>
    </font>
    <font>
      <b/>
      <u/>
      <sz val="22"/>
      <color theme="10"/>
      <name val="Calibri"/>
      <family val="2"/>
      <scheme val="minor"/>
    </font>
    <font>
      <b/>
      <sz val="11"/>
      <color rgb="FF242424"/>
      <name val="Aptos Narrow"/>
      <family val="2"/>
    </font>
    <font>
      <b/>
      <sz val="18"/>
      <color theme="1"/>
      <name val="Calibri"/>
      <family val="2"/>
      <scheme val="minor"/>
    </font>
    <font>
      <sz val="10"/>
      <color rgb="FF000000"/>
      <name val="Calibri"/>
      <family val="2"/>
      <scheme val="minor"/>
    </font>
    <font>
      <sz val="11"/>
      <color rgb="FF242424"/>
      <name val="Calibri"/>
      <family val="2"/>
      <charset val="238"/>
      <scheme val="minor"/>
    </font>
    <font>
      <b/>
      <sz val="18"/>
      <color rgb="FF000000"/>
      <name val="Calibri"/>
      <family val="2"/>
      <scheme val="minor"/>
    </font>
    <font>
      <b/>
      <sz val="11"/>
      <color theme="0"/>
      <name val="Calibri"/>
      <family val="2"/>
      <charset val="238"/>
      <scheme val="minor"/>
    </font>
    <font>
      <b/>
      <sz val="11"/>
      <color theme="1"/>
      <name val="Calibri"/>
      <family val="2"/>
      <charset val="238"/>
      <scheme val="minor"/>
    </font>
    <font>
      <sz val="10"/>
      <color rgb="FF000000"/>
      <name val="Calibri"/>
      <family val="2"/>
    </font>
    <font>
      <sz val="11"/>
      <color theme="1"/>
      <name val="Calibri"/>
      <family val="2"/>
    </font>
    <font>
      <b/>
      <sz val="11"/>
      <color rgb="FFFF0000"/>
      <name val="Calibri"/>
      <family val="2"/>
      <scheme val="minor"/>
    </font>
    <font>
      <sz val="12"/>
      <color rgb="FF000000"/>
      <name val="Aptos"/>
    </font>
    <font>
      <b/>
      <sz val="12"/>
      <color rgb="FF000000"/>
      <name val="Aptos"/>
    </font>
    <font>
      <sz val="11"/>
      <color rgb="FF242424"/>
      <name val="Aptos Narrow"/>
    </font>
    <font>
      <sz val="11"/>
      <color rgb="FF000000"/>
      <name val="Calibri"/>
      <scheme val="minor"/>
    </font>
    <font>
      <b/>
      <sz val="11"/>
      <color rgb="FF000000"/>
      <name val="Calibri"/>
      <scheme val="minor"/>
    </font>
    <font>
      <sz val="11"/>
      <color rgb="FF242424"/>
      <name val="Aptos Narrow"/>
      <charset val="1"/>
    </font>
    <font>
      <sz val="11"/>
      <color rgb="FFFF0000"/>
      <name val="Calibri"/>
      <scheme val="minor"/>
    </font>
    <font>
      <sz val="11"/>
      <color rgb="FFFF0000"/>
      <name val="Calibri"/>
      <family val="2"/>
      <scheme val="minor"/>
    </font>
    <font>
      <u/>
      <sz val="11"/>
      <color rgb="FFFF0000"/>
      <name val="Calibri"/>
      <family val="2"/>
      <scheme val="minor"/>
    </font>
    <font>
      <b/>
      <sz val="11"/>
      <color rgb="FFFF0000"/>
      <name val="Calibri"/>
      <scheme val="minor"/>
    </font>
    <font>
      <u/>
      <sz val="11"/>
      <color rgb="FF000000"/>
      <name val="Calibri"/>
      <family val="2"/>
      <scheme val="minor"/>
    </font>
    <font>
      <sz val="11"/>
      <color theme="1"/>
      <name val="Aptos Narrow"/>
      <charset val="1"/>
    </font>
    <font>
      <u/>
      <sz val="11"/>
      <color theme="1"/>
      <name val="Calibri"/>
      <family val="2"/>
      <scheme val="minor"/>
    </font>
    <font>
      <sz val="11"/>
      <color rgb="FFFF0000"/>
      <name val="Aptos Narrow"/>
    </font>
    <font>
      <b/>
      <sz val="11"/>
      <color theme="1"/>
      <name val="Calibri"/>
      <scheme val="minor"/>
    </font>
    <font>
      <b/>
      <sz val="11"/>
      <color rgb="FF000000"/>
      <name val="Calibri"/>
    </font>
    <font>
      <sz val="11"/>
      <color rgb="FF000000"/>
      <name val="Calibri"/>
    </font>
    <font>
      <sz val="11"/>
      <color rgb="FFFF0000"/>
      <name val="Aptos Narrow"/>
      <charset val="1"/>
    </font>
  </fonts>
  <fills count="13">
    <fill>
      <patternFill patternType="none"/>
    </fill>
    <fill>
      <patternFill patternType="gray125"/>
    </fill>
    <fill>
      <patternFill patternType="solid">
        <fgColor rgb="FFCCCCCC"/>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7CE"/>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rgb="FF000000"/>
      </top>
      <bottom/>
      <diagonal/>
    </border>
    <border>
      <left/>
      <right/>
      <top style="thin">
        <color indexed="64"/>
      </top>
      <bottom/>
      <diagonal/>
    </border>
    <border>
      <left/>
      <right/>
      <top/>
      <bottom style="thin">
        <color indexed="64"/>
      </bottom>
      <diagonal/>
    </border>
    <border>
      <left style="thin">
        <color rgb="FF666666"/>
      </left>
      <right/>
      <top style="thin">
        <color rgb="FF666666"/>
      </top>
      <bottom/>
      <diagonal/>
    </border>
    <border>
      <left/>
      <right/>
      <top style="thin">
        <color rgb="FF666666"/>
      </top>
      <bottom/>
      <diagonal/>
    </border>
    <border>
      <left/>
      <right style="thin">
        <color rgb="FF666666"/>
      </right>
      <top style="thin">
        <color rgb="FF666666"/>
      </top>
      <bottom/>
      <diagonal/>
    </border>
    <border>
      <left style="thin">
        <color rgb="FF666666"/>
      </left>
      <right/>
      <top/>
      <bottom style="thin">
        <color rgb="FF000000"/>
      </bottom>
      <diagonal/>
    </border>
    <border>
      <left/>
      <right/>
      <top/>
      <bottom style="thin">
        <color rgb="FF000000"/>
      </bottom>
      <diagonal/>
    </border>
    <border>
      <left style="thin">
        <color rgb="FF666666"/>
      </left>
      <right style="thin">
        <color rgb="FF666666"/>
      </right>
      <top style="thin">
        <color rgb="FF666666"/>
      </top>
      <bottom style="thin">
        <color rgb="FF666666"/>
      </bottom>
      <diagonal/>
    </border>
    <border>
      <left style="thin">
        <color rgb="FF666666"/>
      </left>
      <right/>
      <top style="thin">
        <color rgb="FF666666"/>
      </top>
      <bottom style="thin">
        <color rgb="FF000000"/>
      </bottom>
      <diagonal/>
    </border>
    <border>
      <left/>
      <right style="thin">
        <color rgb="FF666666"/>
      </right>
      <top style="thin">
        <color rgb="FF666666"/>
      </top>
      <bottom style="thin">
        <color rgb="FF000000"/>
      </bottom>
      <diagonal/>
    </border>
    <border>
      <left style="thin">
        <color rgb="FF000000"/>
      </left>
      <right style="thin">
        <color rgb="FF000000"/>
      </right>
      <top style="thin">
        <color rgb="FF000000"/>
      </top>
      <bottom style="thin">
        <color rgb="FF000000"/>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rgb="FF666666"/>
      </left>
      <right/>
      <top style="thin">
        <color rgb="FF666666"/>
      </top>
      <bottom style="thin">
        <color rgb="FF666666"/>
      </bottom>
      <diagonal/>
    </border>
    <border>
      <left/>
      <right style="thin">
        <color rgb="FF000000"/>
      </right>
      <top style="thin">
        <color rgb="FF000000"/>
      </top>
      <bottom style="thin">
        <color rgb="FF000000"/>
      </bottom>
      <diagonal/>
    </border>
    <border>
      <left/>
      <right style="thin">
        <color rgb="FF666666"/>
      </right>
      <top/>
      <bottom/>
      <diagonal/>
    </border>
    <border>
      <left style="thin">
        <color rgb="FF666666"/>
      </left>
      <right style="thin">
        <color rgb="FF666666"/>
      </right>
      <top/>
      <bottom style="thin">
        <color rgb="FF666666"/>
      </bottom>
      <diagonal/>
    </border>
    <border>
      <left style="thin">
        <color theme="1" tint="0.499984740745262"/>
      </left>
      <right/>
      <top style="thin">
        <color theme="1" tint="0.499984740745262"/>
      </top>
      <bottom style="thin">
        <color theme="1" tint="0.499984740745262"/>
      </bottom>
      <diagonal/>
    </border>
    <border>
      <left style="thin">
        <color rgb="FF000000"/>
      </left>
      <right style="thin">
        <color rgb="FF000000"/>
      </right>
      <top/>
      <bottom/>
      <diagonal/>
    </border>
    <border>
      <left style="thin">
        <color theme="1" tint="0.499984740745262"/>
      </left>
      <right style="thin">
        <color theme="1" tint="0.499984740745262"/>
      </right>
      <top style="thin">
        <color theme="1" tint="0.499984740745262"/>
      </top>
      <bottom/>
      <diagonal/>
    </border>
    <border>
      <left style="thin">
        <color rgb="FF666666"/>
      </left>
      <right/>
      <top/>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theme="1" tint="0.499984740745262"/>
      </left>
      <right/>
      <top style="thin">
        <color theme="1" tint="0.499984740745262"/>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FFFFFF"/>
      </left>
      <right style="thin">
        <color rgb="FFFFFFFF"/>
      </right>
      <top style="thin">
        <color rgb="FFFFFFFF"/>
      </top>
      <bottom style="thin">
        <color rgb="FFFFFFFF"/>
      </bottom>
      <diagonal/>
    </border>
    <border>
      <left style="thin">
        <color rgb="FF666666"/>
      </left>
      <right/>
      <top/>
      <bottom style="thin">
        <color rgb="FF666666"/>
      </bottom>
      <diagonal/>
    </border>
    <border>
      <left/>
      <right style="thin">
        <color rgb="FFFFFFFF"/>
      </right>
      <top style="thin">
        <color rgb="FFFFFFFF"/>
      </top>
      <bottom style="thin">
        <color rgb="FFFFFFFF"/>
      </bottom>
      <diagonal/>
    </border>
    <border>
      <left style="thin">
        <color rgb="FF666666"/>
      </left>
      <right style="thin">
        <color rgb="FF666666"/>
      </right>
      <top style="thin">
        <color rgb="FF666666"/>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right style="medium">
        <color indexed="64"/>
      </right>
      <top style="thin">
        <color rgb="FF000000"/>
      </top>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s>
  <cellStyleXfs count="2">
    <xf numFmtId="0" fontId="0" fillId="0" borderId="0"/>
    <xf numFmtId="0" fontId="10" fillId="0" borderId="0" applyNumberFormat="0" applyFill="0" applyBorder="0" applyAlignment="0" applyProtection="0"/>
  </cellStyleXfs>
  <cellXfs count="350">
    <xf numFmtId="0" fontId="0" fillId="0" borderId="0" xfId="0"/>
    <xf numFmtId="0" fontId="3" fillId="0" borderId="0" xfId="0" applyFont="1"/>
    <xf numFmtId="0" fontId="4" fillId="0" borderId="0" xfId="0" applyFont="1"/>
    <xf numFmtId="1" fontId="0" fillId="0" borderId="0" xfId="0" applyNumberFormat="1"/>
    <xf numFmtId="0" fontId="6"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3" fillId="0" borderId="1" xfId="0" applyFont="1" applyBorder="1"/>
    <xf numFmtId="0" fontId="7" fillId="0" borderId="2" xfId="0" applyFont="1" applyBorder="1"/>
    <xf numFmtId="0" fontId="6" fillId="0" borderId="4" xfId="0" applyFont="1" applyBorder="1"/>
    <xf numFmtId="0" fontId="3" fillId="0" borderId="2" xfId="0" applyFont="1" applyBorder="1"/>
    <xf numFmtId="0" fontId="4" fillId="0" borderId="0" xfId="0" applyFont="1" applyProtection="1">
      <protection locked="0"/>
    </xf>
    <xf numFmtId="0" fontId="0" fillId="0" borderId="0" xfId="0" applyProtection="1">
      <protection locked="0"/>
    </xf>
    <xf numFmtId="14" fontId="0" fillId="0" borderId="0" xfId="0" applyNumberFormat="1"/>
    <xf numFmtId="0" fontId="0" fillId="0" borderId="0" xfId="0" applyAlignment="1">
      <alignment horizontal="center" vertical="center" wrapText="1"/>
    </xf>
    <xf numFmtId="0" fontId="3" fillId="0" borderId="0" xfId="0" applyFont="1" applyProtection="1">
      <protection locked="0"/>
    </xf>
    <xf numFmtId="0" fontId="9" fillId="0" borderId="0" xfId="0" applyFont="1"/>
    <xf numFmtId="0" fontId="6" fillId="0" borderId="0" xfId="0" applyFont="1" applyProtection="1">
      <protection locked="0"/>
    </xf>
    <xf numFmtId="0" fontId="11" fillId="0" borderId="0" xfId="0" applyFont="1"/>
    <xf numFmtId="0" fontId="12" fillId="0" borderId="0" xfId="0" applyFont="1"/>
    <xf numFmtId="14" fontId="6" fillId="0" borderId="0" xfId="0" applyNumberFormat="1" applyFont="1"/>
    <xf numFmtId="0" fontId="13" fillId="0" borderId="0" xfId="0" applyFont="1"/>
    <xf numFmtId="0" fontId="14" fillId="0" borderId="0" xfId="0" applyFont="1"/>
    <xf numFmtId="0" fontId="15" fillId="0" borderId="0" xfId="1" applyFont="1"/>
    <xf numFmtId="0" fontId="0" fillId="0" borderId="0" xfId="0" applyAlignment="1">
      <alignment wrapText="1"/>
    </xf>
    <xf numFmtId="0" fontId="16" fillId="0" borderId="0" xfId="0" applyFont="1"/>
    <xf numFmtId="0" fontId="3" fillId="0" borderId="0" xfId="0" applyFont="1" applyAlignment="1">
      <alignment wrapText="1"/>
    </xf>
    <xf numFmtId="0" fontId="16" fillId="0" borderId="0" xfId="0" applyFont="1" applyAlignment="1">
      <alignment wrapText="1"/>
    </xf>
    <xf numFmtId="0" fontId="17" fillId="0" borderId="0" xfId="0" applyFont="1"/>
    <xf numFmtId="0" fontId="18" fillId="0" borderId="0" xfId="0" applyFont="1"/>
    <xf numFmtId="0" fontId="6" fillId="0" borderId="0" xfId="0" applyFont="1" applyAlignment="1">
      <alignment wrapText="1"/>
    </xf>
    <xf numFmtId="0" fontId="0" fillId="0" borderId="9" xfId="0" applyBorder="1" applyAlignment="1">
      <alignment wrapText="1"/>
    </xf>
    <xf numFmtId="0" fontId="0" fillId="0" borderId="10" xfId="0" applyBorder="1" applyAlignment="1">
      <alignment wrapText="1"/>
    </xf>
    <xf numFmtId="0" fontId="0" fillId="0" borderId="11" xfId="0" applyBorder="1" applyAlignment="1">
      <alignment wrapText="1"/>
    </xf>
    <xf numFmtId="0" fontId="6" fillId="0" borderId="10" xfId="0" applyFont="1" applyBorder="1" applyAlignment="1">
      <alignment wrapText="1"/>
    </xf>
    <xf numFmtId="0" fontId="22" fillId="2" borderId="17" xfId="0" applyFont="1" applyFill="1" applyBorder="1"/>
    <xf numFmtId="0" fontId="22" fillId="2" borderId="17" xfId="0" applyFont="1" applyFill="1" applyBorder="1">
      <extLst>
        <ext xmlns:xfpb="http://schemas.microsoft.com/office/spreadsheetml/2022/featurepropertybag" uri="{C7286773-470A-42A8-94C5-96B5CB345126}">
          <xfpb:xfComplement i="0"/>
        </ext>
      </extLst>
    </xf>
    <xf numFmtId="0" fontId="22" fillId="0" borderId="17" xfId="0" applyFont="1" applyBorder="1"/>
    <xf numFmtId="0" fontId="22" fillId="0" borderId="17" xfId="0" applyFont="1" applyBorder="1">
      <extLst>
        <ext xmlns:xfpb="http://schemas.microsoft.com/office/spreadsheetml/2022/featurepropertybag" uri="{C7286773-470A-42A8-94C5-96B5CB345126}">
          <xfpb:xfComplement i="0"/>
        </ext>
      </extLst>
    </xf>
    <xf numFmtId="0" fontId="21" fillId="3" borderId="12" xfId="0" applyFont="1" applyFill="1" applyBorder="1" applyAlignment="1">
      <alignment horizontal="center"/>
    </xf>
    <xf numFmtId="0" fontId="21" fillId="3" borderId="13" xfId="0" applyFont="1" applyFill="1" applyBorder="1" applyAlignment="1">
      <alignment horizontal="center"/>
    </xf>
    <xf numFmtId="0" fontId="21" fillId="3" borderId="14" xfId="0" applyFont="1"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21" fillId="3" borderId="18" xfId="0" applyFont="1" applyFill="1" applyBorder="1" applyAlignment="1">
      <alignment horizontal="right"/>
    </xf>
    <xf numFmtId="0" fontId="21" fillId="3" borderId="19" xfId="0" applyFont="1" applyFill="1" applyBorder="1" applyAlignment="1">
      <alignment horizontal="left"/>
    </xf>
    <xf numFmtId="0" fontId="21" fillId="3" borderId="14" xfId="0" applyFont="1" applyFill="1" applyBorder="1" applyAlignment="1">
      <alignment horizontal="left"/>
    </xf>
    <xf numFmtId="0" fontId="23" fillId="3" borderId="17" xfId="0" applyFont="1" applyFill="1" applyBorder="1"/>
    <xf numFmtId="0" fontId="22" fillId="3" borderId="17" xfId="0" applyFont="1" applyFill="1" applyBorder="1"/>
    <xf numFmtId="0" fontId="21" fillId="3" borderId="13" xfId="0" applyFont="1" applyFill="1" applyBorder="1" applyAlignment="1">
      <alignment horizontal="left"/>
    </xf>
    <xf numFmtId="0" fontId="21" fillId="3" borderId="0" xfId="0" applyFont="1" applyFill="1" applyAlignment="1">
      <alignment horizontal="left"/>
    </xf>
    <xf numFmtId="0" fontId="22" fillId="2" borderId="17" xfId="0" applyFont="1" applyFill="1" applyBorder="1" applyAlignment="1">
      <alignment wrapText="1"/>
    </xf>
    <xf numFmtId="0" fontId="22" fillId="0" borderId="17" xfId="0" applyFont="1" applyBorder="1" applyAlignment="1">
      <alignment wrapText="1"/>
    </xf>
    <xf numFmtId="0" fontId="24" fillId="3" borderId="0" xfId="0" applyFont="1" applyFill="1" applyAlignment="1">
      <alignment horizontal="center"/>
    </xf>
    <xf numFmtId="0" fontId="22" fillId="2" borderId="22" xfId="0" applyFont="1" applyFill="1" applyBorder="1"/>
    <xf numFmtId="0" fontId="21" fillId="3" borderId="24" xfId="0" applyFont="1" applyFill="1" applyBorder="1" applyAlignment="1">
      <alignment horizontal="center"/>
    </xf>
    <xf numFmtId="0" fontId="0" fillId="2" borderId="21" xfId="0" applyFill="1" applyBorder="1"/>
    <xf numFmtId="0" fontId="0" fillId="0" borderId="27" xfId="0" applyBorder="1"/>
    <xf numFmtId="0" fontId="22" fillId="2" borderId="22" xfId="0" applyFont="1" applyFill="1" applyBorder="1" applyAlignment="1">
      <alignment wrapText="1"/>
    </xf>
    <xf numFmtId="0" fontId="22" fillId="0" borderId="22" xfId="0" applyFont="1" applyBorder="1"/>
    <xf numFmtId="0" fontId="22" fillId="0" borderId="22" xfId="0" applyFont="1" applyBorder="1" applyAlignment="1">
      <alignment wrapText="1"/>
    </xf>
    <xf numFmtId="0" fontId="26" fillId="0" borderId="0" xfId="1" applyFont="1"/>
    <xf numFmtId="0" fontId="10" fillId="0" borderId="0" xfId="1"/>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3" fillId="0" borderId="10" xfId="0" applyFont="1" applyBorder="1" applyAlignment="1">
      <alignment horizontal="center"/>
    </xf>
    <xf numFmtId="0" fontId="3" fillId="0" borderId="33" xfId="0" applyFont="1" applyBorder="1" applyAlignment="1">
      <alignment horizontal="center"/>
    </xf>
    <xf numFmtId="0" fontId="3" fillId="0" borderId="34" xfId="0" applyFont="1"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27" fillId="0" borderId="35" xfId="0" applyFont="1" applyBorder="1" applyAlignment="1">
      <alignment horizontal="center"/>
    </xf>
    <xf numFmtId="0" fontId="0" fillId="0" borderId="36" xfId="0" applyBorder="1"/>
    <xf numFmtId="0" fontId="0" fillId="0" borderId="37" xfId="0" applyBorder="1"/>
    <xf numFmtId="0" fontId="0" fillId="0" borderId="38" xfId="0" applyBorder="1"/>
    <xf numFmtId="0" fontId="3" fillId="0" borderId="35" xfId="0" applyFont="1" applyBorder="1" applyAlignment="1">
      <alignment horizontal="center"/>
    </xf>
    <xf numFmtId="0" fontId="10" fillId="0" borderId="28" xfId="1" applyBorder="1" applyAlignment="1">
      <alignment wrapText="1"/>
    </xf>
    <xf numFmtId="0" fontId="10" fillId="0" borderId="0" xfId="1" applyAlignment="1">
      <alignment wrapText="1"/>
    </xf>
    <xf numFmtId="0" fontId="10" fillId="2" borderId="21" xfId="1" applyFill="1" applyBorder="1" applyAlignment="1">
      <alignment wrapText="1"/>
    </xf>
    <xf numFmtId="0" fontId="0" fillId="0" borderId="17" xfId="0" applyBorder="1"/>
    <xf numFmtId="0" fontId="10" fillId="0" borderId="17" xfId="1" applyBorder="1"/>
    <xf numFmtId="0" fontId="0" fillId="2" borderId="17" xfId="0" applyFill="1" applyBorder="1"/>
    <xf numFmtId="0" fontId="22" fillId="3" borderId="22" xfId="0" applyFont="1" applyFill="1" applyBorder="1"/>
    <xf numFmtId="0" fontId="22" fillId="4" borderId="22" xfId="0" applyFont="1" applyFill="1" applyBorder="1" applyAlignment="1">
      <alignment wrapText="1"/>
    </xf>
    <xf numFmtId="0" fontId="0" fillId="2" borderId="42" xfId="0" applyFill="1" applyBorder="1"/>
    <xf numFmtId="0" fontId="10" fillId="2" borderId="42" xfId="1" applyFill="1" applyBorder="1"/>
    <xf numFmtId="49" fontId="18" fillId="2" borderId="17" xfId="0" applyNumberFormat="1" applyFont="1" applyFill="1" applyBorder="1" applyAlignment="1">
      <alignment horizontal="right"/>
    </xf>
    <xf numFmtId="49" fontId="18" fillId="0" borderId="17" xfId="0" applyNumberFormat="1" applyFont="1" applyBorder="1" applyAlignment="1">
      <alignment horizontal="right"/>
    </xf>
    <xf numFmtId="49" fontId="21" fillId="3" borderId="12" xfId="0" applyNumberFormat="1" applyFont="1" applyFill="1" applyBorder="1" applyAlignment="1">
      <alignment horizontal="right"/>
    </xf>
    <xf numFmtId="49" fontId="23" fillId="3" borderId="17" xfId="0" applyNumberFormat="1" applyFont="1" applyFill="1" applyBorder="1" applyAlignment="1">
      <alignment horizontal="right"/>
    </xf>
    <xf numFmtId="0" fontId="0" fillId="3" borderId="17" xfId="0" applyFill="1" applyBorder="1"/>
    <xf numFmtId="0" fontId="27"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3" fillId="0" borderId="35" xfId="0" applyFont="1" applyBorder="1"/>
    <xf numFmtId="15" fontId="0" fillId="0" borderId="0" xfId="0" applyNumberFormat="1"/>
    <xf numFmtId="0" fontId="9" fillId="0" borderId="35" xfId="0" applyFont="1" applyBorder="1"/>
    <xf numFmtId="0" fontId="6" fillId="0" borderId="34" xfId="0" applyFont="1" applyBorder="1"/>
    <xf numFmtId="0" fontId="9" fillId="0" borderId="3" xfId="0" applyFont="1" applyBorder="1"/>
    <xf numFmtId="0" fontId="9" fillId="0" borderId="35" xfId="0" applyFont="1" applyBorder="1" applyAlignment="1">
      <alignment horizontal="center"/>
    </xf>
    <xf numFmtId="0" fontId="3" fillId="0" borderId="36" xfId="0" applyFont="1" applyBorder="1"/>
    <xf numFmtId="0" fontId="3" fillId="0" borderId="37" xfId="0" applyFont="1" applyBorder="1"/>
    <xf numFmtId="0" fontId="3" fillId="0" borderId="43" xfId="0" applyFont="1" applyBorder="1"/>
    <xf numFmtId="0" fontId="19" fillId="0" borderId="37" xfId="0" applyFont="1" applyBorder="1"/>
    <xf numFmtId="0" fontId="19" fillId="0" borderId="43" xfId="0" applyFont="1" applyBorder="1"/>
    <xf numFmtId="0" fontId="0" fillId="5" borderId="0" xfId="0" applyFill="1"/>
    <xf numFmtId="0" fontId="28" fillId="0" borderId="0" xfId="0" applyFont="1"/>
    <xf numFmtId="0" fontId="10" fillId="2" borderId="23" xfId="1" applyFill="1" applyBorder="1" applyAlignment="1">
      <alignment wrapText="1"/>
    </xf>
    <xf numFmtId="0" fontId="3" fillId="0" borderId="36" xfId="0" applyFont="1" applyBorder="1" applyAlignment="1">
      <alignment horizontal="left" vertical="center"/>
    </xf>
    <xf numFmtId="0" fontId="3" fillId="0" borderId="37" xfId="0" applyFont="1" applyBorder="1" applyAlignment="1">
      <alignment horizontal="left" vertical="center"/>
    </xf>
    <xf numFmtId="0" fontId="3" fillId="0" borderId="43" xfId="0" applyFont="1" applyBorder="1" applyAlignment="1">
      <alignment horizontal="left" vertical="center"/>
    </xf>
    <xf numFmtId="0" fontId="10" fillId="0" borderId="17" xfId="1" applyBorder="1" applyAlignment="1">
      <alignment wrapText="1"/>
    </xf>
    <xf numFmtId="0" fontId="0" fillId="3" borderId="0" xfId="0" applyFill="1"/>
    <xf numFmtId="0" fontId="0" fillId="2" borderId="17" xfId="0" applyFill="1" applyBorder="1" applyAlignment="1">
      <alignment wrapText="1"/>
    </xf>
    <xf numFmtId="0" fontId="3" fillId="5" borderId="0" xfId="0" applyFont="1" applyFill="1"/>
    <xf numFmtId="0" fontId="0" fillId="0" borderId="17" xfId="0" applyBorder="1" applyAlignment="1">
      <alignment wrapText="1"/>
    </xf>
    <xf numFmtId="0" fontId="10" fillId="2" borderId="17" xfId="1" applyFill="1" applyBorder="1" applyAlignment="1">
      <alignment wrapText="1"/>
    </xf>
    <xf numFmtId="0" fontId="10" fillId="4" borderId="0" xfId="1" applyFill="1" applyAlignment="1">
      <alignment wrapText="1"/>
    </xf>
    <xf numFmtId="0" fontId="0" fillId="2" borderId="0" xfId="0" applyFill="1"/>
    <xf numFmtId="0" fontId="10" fillId="2" borderId="0" xfId="1" applyFill="1" applyAlignment="1">
      <alignment wrapText="1"/>
    </xf>
    <xf numFmtId="0" fontId="30" fillId="0" borderId="0" xfId="0" applyFont="1"/>
    <xf numFmtId="0" fontId="10" fillId="2" borderId="17" xfId="1" applyFill="1" applyBorder="1"/>
    <xf numFmtId="0" fontId="0" fillId="2" borderId="0" xfId="0" applyFill="1" applyAlignment="1">
      <alignment wrapText="1"/>
    </xf>
    <xf numFmtId="0" fontId="31" fillId="0" borderId="0" xfId="0" applyFont="1"/>
    <xf numFmtId="0" fontId="0" fillId="2" borderId="39" xfId="0" applyFill="1" applyBorder="1"/>
    <xf numFmtId="0" fontId="10" fillId="0" borderId="0" xfId="1" applyFill="1" applyAlignment="1">
      <alignment wrapText="1"/>
    </xf>
    <xf numFmtId="0" fontId="10" fillId="0" borderId="17" xfId="1" applyFill="1" applyBorder="1" applyAlignment="1">
      <alignment wrapText="1"/>
    </xf>
    <xf numFmtId="0" fontId="3" fillId="0" borderId="44" xfId="0" applyFont="1" applyBorder="1"/>
    <xf numFmtId="0" fontId="0" fillId="0" borderId="45" xfId="0" applyBorder="1"/>
    <xf numFmtId="0" fontId="0" fillId="0" borderId="46" xfId="0" applyBorder="1"/>
    <xf numFmtId="0" fontId="0" fillId="6" borderId="0" xfId="0" applyFill="1"/>
    <xf numFmtId="164" fontId="0" fillId="0" borderId="0" xfId="0" applyNumberFormat="1"/>
    <xf numFmtId="165" fontId="0" fillId="0" borderId="0" xfId="0" applyNumberFormat="1"/>
    <xf numFmtId="166" fontId="0" fillId="0" borderId="0" xfId="0" applyNumberFormat="1"/>
    <xf numFmtId="0" fontId="16" fillId="0" borderId="47" xfId="0" applyFont="1" applyBorder="1" applyAlignment="1">
      <alignment horizontal="center" vertical="top"/>
    </xf>
    <xf numFmtId="0" fontId="22" fillId="0" borderId="29" xfId="0" applyFont="1" applyBorder="1" applyAlignment="1">
      <alignment wrapText="1"/>
    </xf>
    <xf numFmtId="0" fontId="10" fillId="2" borderId="41" xfId="1" applyFill="1" applyBorder="1" applyAlignment="1">
      <alignment wrapText="1"/>
    </xf>
    <xf numFmtId="0" fontId="35" fillId="2" borderId="12" xfId="0" applyFont="1" applyFill="1" applyBorder="1" applyAlignment="1">
      <alignment wrapText="1"/>
    </xf>
    <xf numFmtId="0" fontId="22" fillId="4" borderId="32" xfId="0" applyFont="1" applyFill="1" applyBorder="1"/>
    <xf numFmtId="0" fontId="0" fillId="4" borderId="17" xfId="0" applyFill="1" applyBorder="1"/>
    <xf numFmtId="0" fontId="35" fillId="4" borderId="17" xfId="0" applyFont="1" applyFill="1" applyBorder="1" applyAlignment="1">
      <alignment wrapText="1"/>
    </xf>
    <xf numFmtId="0" fontId="36" fillId="0" borderId="0" xfId="0" applyFont="1"/>
    <xf numFmtId="0" fontId="2" fillId="0" borderId="0" xfId="0" applyFont="1"/>
    <xf numFmtId="0" fontId="4" fillId="0" borderId="20" xfId="0" applyFont="1" applyBorder="1"/>
    <xf numFmtId="0" fontId="2" fillId="0" borderId="20" xfId="0" applyFont="1" applyBorder="1"/>
    <xf numFmtId="0" fontId="2" fillId="0" borderId="48" xfId="0" applyFont="1" applyBorder="1"/>
    <xf numFmtId="0" fontId="4" fillId="0" borderId="50" xfId="0" applyFont="1" applyBorder="1" applyAlignment="1">
      <alignment wrapText="1"/>
    </xf>
    <xf numFmtId="0" fontId="4" fillId="0" borderId="50" xfId="0" applyFont="1" applyBorder="1"/>
    <xf numFmtId="0" fontId="4" fillId="0" borderId="51" xfId="0" applyFont="1" applyBorder="1"/>
    <xf numFmtId="0" fontId="2" fillId="0" borderId="27" xfId="0" applyFont="1" applyBorder="1"/>
    <xf numFmtId="49" fontId="2" fillId="0" borderId="27" xfId="0" applyNumberFormat="1" applyFont="1" applyBorder="1"/>
    <xf numFmtId="15" fontId="2" fillId="0" borderId="20" xfId="0" applyNumberFormat="1" applyFont="1" applyBorder="1"/>
    <xf numFmtId="0" fontId="2" fillId="0" borderId="20" xfId="0" applyFont="1" applyBorder="1" applyAlignment="1">
      <alignment wrapText="1"/>
    </xf>
    <xf numFmtId="0" fontId="4" fillId="0" borderId="52" xfId="0" applyFont="1" applyBorder="1"/>
    <xf numFmtId="0" fontId="2" fillId="0" borderId="53" xfId="0" applyFont="1" applyBorder="1"/>
    <xf numFmtId="0" fontId="2" fillId="0" borderId="57" xfId="0" applyFont="1" applyBorder="1"/>
    <xf numFmtId="0" fontId="2" fillId="0" borderId="58" xfId="0" applyFont="1" applyBorder="1"/>
    <xf numFmtId="0" fontId="4" fillId="0" borderId="59" xfId="0" applyFont="1" applyBorder="1"/>
    <xf numFmtId="15" fontId="2" fillId="0" borderId="48" xfId="0" applyNumberFormat="1" applyFont="1" applyBorder="1"/>
    <xf numFmtId="0" fontId="2" fillId="0" borderId="60" xfId="0" applyFont="1" applyBorder="1"/>
    <xf numFmtId="0" fontId="4" fillId="0" borderId="49" xfId="0" applyFont="1" applyBorder="1"/>
    <xf numFmtId="0" fontId="4" fillId="0" borderId="61" xfId="0" applyFont="1" applyBorder="1"/>
    <xf numFmtId="0" fontId="2" fillId="0" borderId="62" xfId="0" applyFont="1" applyBorder="1"/>
    <xf numFmtId="15" fontId="2" fillId="0" borderId="62" xfId="0" applyNumberFormat="1" applyFont="1" applyBorder="1"/>
    <xf numFmtId="0" fontId="2" fillId="0" borderId="63" xfId="0" applyFont="1" applyBorder="1"/>
    <xf numFmtId="49" fontId="2" fillId="0" borderId="59" xfId="0" applyNumberFormat="1" applyFont="1" applyBorder="1"/>
    <xf numFmtId="0" fontId="12" fillId="0" borderId="54" xfId="0" applyFont="1" applyBorder="1"/>
    <xf numFmtId="0" fontId="12" fillId="0" borderId="55" xfId="0" applyFont="1" applyBorder="1"/>
    <xf numFmtId="0" fontId="0" fillId="0" borderId="55" xfId="0" applyBorder="1"/>
    <xf numFmtId="0" fontId="0" fillId="0" borderId="56" xfId="0" applyBorder="1"/>
    <xf numFmtId="0" fontId="35" fillId="0" borderId="22" xfId="0" applyFont="1" applyBorder="1" applyAlignment="1">
      <alignment wrapText="1"/>
    </xf>
    <xf numFmtId="0" fontId="35" fillId="2" borderId="22" xfId="0" applyFont="1" applyFill="1" applyBorder="1" applyAlignment="1">
      <alignment wrapText="1"/>
    </xf>
    <xf numFmtId="0" fontId="10" fillId="4" borderId="28" xfId="1" applyFill="1" applyBorder="1" applyAlignment="1">
      <alignment wrapText="1"/>
    </xf>
    <xf numFmtId="0" fontId="10" fillId="0" borderId="23" xfId="1" applyFill="1" applyBorder="1" applyAlignment="1">
      <alignment wrapText="1"/>
    </xf>
    <xf numFmtId="0" fontId="10" fillId="4" borderId="17" xfId="1" applyFill="1" applyBorder="1" applyAlignment="1">
      <alignment wrapText="1"/>
    </xf>
    <xf numFmtId="15" fontId="2" fillId="0" borderId="48" xfId="0" applyNumberFormat="1" applyFont="1" applyBorder="1" applyAlignment="1">
      <alignment horizontal="left"/>
    </xf>
    <xf numFmtId="15" fontId="2" fillId="0" borderId="20" xfId="0" applyNumberFormat="1" applyFont="1" applyBorder="1" applyAlignment="1">
      <alignment horizontal="left"/>
    </xf>
    <xf numFmtId="15" fontId="2" fillId="0" borderId="62" xfId="0" applyNumberFormat="1" applyFont="1" applyBorder="1" applyAlignment="1">
      <alignment horizontal="left"/>
    </xf>
    <xf numFmtId="0" fontId="0" fillId="4" borderId="17" xfId="0" applyFill="1" applyBorder="1" applyAlignment="1">
      <alignment wrapText="1"/>
    </xf>
    <xf numFmtId="0" fontId="9" fillId="0" borderId="2" xfId="0" applyFont="1" applyBorder="1"/>
    <xf numFmtId="0" fontId="0" fillId="0" borderId="67" xfId="0" applyBorder="1" applyAlignment="1">
      <alignment wrapText="1"/>
    </xf>
    <xf numFmtId="0" fontId="0" fillId="0" borderId="5" xfId="0" applyBorder="1" applyAlignment="1">
      <alignment wrapText="1"/>
    </xf>
    <xf numFmtId="0" fontId="0" fillId="0" borderId="34" xfId="0" applyBorder="1" applyAlignment="1">
      <alignment wrapText="1"/>
    </xf>
    <xf numFmtId="0" fontId="0" fillId="0" borderId="68" xfId="0" applyBorder="1" applyAlignment="1">
      <alignment wrapText="1"/>
    </xf>
    <xf numFmtId="0" fontId="6" fillId="0" borderId="5" xfId="0" applyFont="1" applyBorder="1" applyAlignment="1">
      <alignment wrapText="1"/>
    </xf>
    <xf numFmtId="0" fontId="10" fillId="4" borderId="17" xfId="1" applyFill="1" applyBorder="1"/>
    <xf numFmtId="0" fontId="3" fillId="0" borderId="35" xfId="0" applyFont="1" applyBorder="1" applyAlignment="1">
      <alignment horizontal="left" vertical="center"/>
    </xf>
    <xf numFmtId="0" fontId="6" fillId="0" borderId="2" xfId="0" applyFont="1" applyBorder="1" applyAlignment="1">
      <alignment wrapText="1"/>
    </xf>
    <xf numFmtId="0" fontId="0" fillId="0" borderId="2" xfId="0" applyBorder="1"/>
    <xf numFmtId="0" fontId="0" fillId="0" borderId="3" xfId="0" applyBorder="1" applyAlignment="1">
      <alignment wrapText="1"/>
    </xf>
    <xf numFmtId="0" fontId="6" fillId="0" borderId="34" xfId="0" applyFont="1" applyBorder="1" applyAlignment="1">
      <alignment wrapText="1"/>
    </xf>
    <xf numFmtId="0" fontId="0" fillId="0" borderId="0" xfId="0" applyAlignment="1" applyProtection="1">
      <alignment wrapText="1"/>
      <protection locked="0"/>
    </xf>
    <xf numFmtId="0" fontId="0" fillId="0" borderId="0" xfId="0" applyAlignment="1">
      <alignment horizontal="left"/>
    </xf>
    <xf numFmtId="0" fontId="6" fillId="0" borderId="68" xfId="0" applyFont="1" applyBorder="1" applyAlignment="1">
      <alignment wrapText="1"/>
    </xf>
    <xf numFmtId="0" fontId="3" fillId="0" borderId="45" xfId="0" applyFont="1" applyBorder="1"/>
    <xf numFmtId="0" fontId="0" fillId="0" borderId="69" xfId="0" applyBorder="1" applyAlignment="1">
      <alignment wrapText="1"/>
    </xf>
    <xf numFmtId="0" fontId="22" fillId="0" borderId="70" xfId="0" applyFont="1" applyBorder="1" applyAlignment="1">
      <alignment wrapText="1"/>
    </xf>
    <xf numFmtId="0" fontId="10" fillId="4" borderId="23" xfId="1" applyFill="1" applyBorder="1" applyAlignment="1">
      <alignment wrapText="1"/>
    </xf>
    <xf numFmtId="0" fontId="0" fillId="4" borderId="26" xfId="0" applyFill="1" applyBorder="1" applyAlignment="1">
      <alignment wrapText="1"/>
    </xf>
    <xf numFmtId="0" fontId="3" fillId="0" borderId="46" xfId="0" applyFont="1" applyBorder="1"/>
    <xf numFmtId="0" fontId="0" fillId="0" borderId="71" xfId="0" applyBorder="1" applyAlignment="1">
      <alignment wrapText="1"/>
    </xf>
    <xf numFmtId="0" fontId="22" fillId="0" borderId="72" xfId="0" applyFont="1" applyBorder="1" applyAlignment="1">
      <alignment wrapText="1"/>
    </xf>
    <xf numFmtId="0" fontId="10" fillId="0" borderId="17" xfId="1" applyFill="1" applyBorder="1"/>
    <xf numFmtId="0" fontId="10" fillId="0" borderId="0" xfId="1" applyFill="1"/>
    <xf numFmtId="0" fontId="0" fillId="5" borderId="0" xfId="0" applyFill="1" applyAlignment="1">
      <alignment wrapText="1"/>
    </xf>
    <xf numFmtId="165" fontId="0" fillId="5" borderId="0" xfId="0" applyNumberFormat="1" applyFill="1"/>
    <xf numFmtId="0" fontId="37" fillId="0" borderId="0" xfId="0" applyFont="1"/>
    <xf numFmtId="0" fontId="38" fillId="0" borderId="0" xfId="0" applyFont="1" applyAlignment="1">
      <alignment wrapText="1"/>
    </xf>
    <xf numFmtId="0" fontId="37" fillId="0" borderId="0" xfId="0" applyFont="1" applyAlignment="1">
      <alignment wrapText="1"/>
    </xf>
    <xf numFmtId="0" fontId="0" fillId="0" borderId="73" xfId="0" applyBorder="1"/>
    <xf numFmtId="0" fontId="0" fillId="0" borderId="74" xfId="0" applyBorder="1"/>
    <xf numFmtId="165" fontId="0" fillId="0" borderId="74" xfId="0" applyNumberFormat="1" applyBorder="1"/>
    <xf numFmtId="0" fontId="0" fillId="0" borderId="74" xfId="0" applyBorder="1" applyAlignment="1">
      <alignment wrapText="1"/>
    </xf>
    <xf numFmtId="0" fontId="0" fillId="0" borderId="75" xfId="0" applyBorder="1" applyAlignment="1">
      <alignment wrapText="1"/>
    </xf>
    <xf numFmtId="0" fontId="0" fillId="0" borderId="76" xfId="0" applyBorder="1"/>
    <xf numFmtId="0" fontId="0" fillId="0" borderId="77" xfId="0" applyBorder="1"/>
    <xf numFmtId="0" fontId="0" fillId="0" borderId="78" xfId="0" applyBorder="1"/>
    <xf numFmtId="0" fontId="0" fillId="0" borderId="79" xfId="0" applyBorder="1"/>
    <xf numFmtId="0" fontId="0" fillId="0" borderId="79" xfId="0" applyBorder="1" applyAlignment="1">
      <alignment wrapText="1"/>
    </xf>
    <xf numFmtId="0" fontId="22" fillId="4" borderId="17" xfId="0" applyFont="1" applyFill="1" applyBorder="1"/>
    <xf numFmtId="0" fontId="10" fillId="4" borderId="41" xfId="1" applyFill="1" applyBorder="1" applyAlignment="1">
      <alignment wrapText="1"/>
    </xf>
    <xf numFmtId="0" fontId="0" fillId="0" borderId="26" xfId="0" applyBorder="1" applyAlignment="1">
      <alignment wrapText="1"/>
    </xf>
    <xf numFmtId="0" fontId="10" fillId="0" borderId="41" xfId="1" applyFill="1" applyBorder="1" applyAlignment="1">
      <alignment wrapText="1"/>
    </xf>
    <xf numFmtId="0" fontId="22" fillId="0" borderId="40" xfId="0" applyFont="1" applyBorder="1" applyAlignment="1">
      <alignment wrapText="1"/>
    </xf>
    <xf numFmtId="0" fontId="39" fillId="0" borderId="0" xfId="0" applyFont="1"/>
    <xf numFmtId="0" fontId="0" fillId="7" borderId="21" xfId="0" applyFill="1" applyBorder="1" applyAlignment="1">
      <alignment wrapText="1"/>
    </xf>
    <xf numFmtId="0" fontId="10" fillId="7" borderId="30" xfId="1" applyFill="1" applyBorder="1" applyAlignment="1">
      <alignment wrapText="1"/>
    </xf>
    <xf numFmtId="0" fontId="22" fillId="7" borderId="22" xfId="0" applyFont="1" applyFill="1" applyBorder="1" applyAlignment="1">
      <alignment wrapText="1"/>
    </xf>
    <xf numFmtId="165" fontId="0" fillId="0" borderId="75" xfId="0" applyNumberFormat="1" applyBorder="1"/>
    <xf numFmtId="15" fontId="0" fillId="0" borderId="74" xfId="0" applyNumberFormat="1" applyBorder="1"/>
    <xf numFmtId="0" fontId="22" fillId="4" borderId="17" xfId="0" applyFont="1" applyFill="1" applyBorder="1">
      <extLst>
        <ext xmlns:xfpb="http://schemas.microsoft.com/office/spreadsheetml/2022/featurepropertybag" uri="{C7286773-470A-42A8-94C5-96B5CB345126}">
          <xfpb:xfComplement i="0"/>
        </ext>
      </extLst>
    </xf>
    <xf numFmtId="165" fontId="0" fillId="0" borderId="0" xfId="0" applyNumberFormat="1" applyAlignment="1">
      <alignment horizontal="left"/>
    </xf>
    <xf numFmtId="165" fontId="0" fillId="0" borderId="0" xfId="0" applyNumberFormat="1" applyAlignment="1">
      <alignment horizontal="right"/>
    </xf>
    <xf numFmtId="165" fontId="0" fillId="0" borderId="80" xfId="0" applyNumberFormat="1" applyBorder="1"/>
    <xf numFmtId="165" fontId="0" fillId="0" borderId="79" xfId="0" applyNumberFormat="1" applyBorder="1"/>
    <xf numFmtId="0" fontId="42" fillId="0" borderId="0" xfId="0" applyFont="1" applyAlignment="1">
      <alignment wrapText="1"/>
    </xf>
    <xf numFmtId="15" fontId="0" fillId="5" borderId="0" xfId="0" applyNumberFormat="1" applyFill="1"/>
    <xf numFmtId="15" fontId="0" fillId="0" borderId="75" xfId="0" applyNumberFormat="1" applyBorder="1"/>
    <xf numFmtId="15" fontId="0" fillId="0" borderId="20" xfId="0" applyNumberFormat="1" applyBorder="1"/>
    <xf numFmtId="0" fontId="0" fillId="0" borderId="20" xfId="0" applyBorder="1"/>
    <xf numFmtId="0" fontId="0" fillId="0" borderId="20" xfId="0" applyBorder="1" applyAlignment="1">
      <alignment wrapText="1"/>
    </xf>
    <xf numFmtId="0" fontId="10" fillId="0" borderId="20" xfId="1" applyBorder="1"/>
    <xf numFmtId="0" fontId="3" fillId="9" borderId="0" xfId="0" applyFont="1" applyFill="1" applyAlignment="1">
      <alignment wrapText="1"/>
    </xf>
    <xf numFmtId="0" fontId="0" fillId="9" borderId="0" xfId="0" applyFill="1" applyAlignment="1">
      <alignment wrapText="1"/>
    </xf>
    <xf numFmtId="0" fontId="42" fillId="0" borderId="0" xfId="0" applyFont="1"/>
    <xf numFmtId="15" fontId="0" fillId="0" borderId="0" xfId="0" applyNumberFormat="1" applyAlignment="1">
      <alignment wrapText="1"/>
    </xf>
    <xf numFmtId="0" fontId="44" fillId="8" borderId="20" xfId="0" applyFont="1" applyFill="1" applyBorder="1"/>
    <xf numFmtId="0" fontId="44" fillId="8" borderId="20" xfId="0" applyFont="1" applyFill="1" applyBorder="1" applyAlignment="1">
      <alignment wrapText="1"/>
    </xf>
    <xf numFmtId="0" fontId="45" fillId="8" borderId="20" xfId="1" applyFont="1" applyFill="1" applyBorder="1"/>
    <xf numFmtId="0" fontId="44" fillId="0" borderId="20" xfId="0" applyFont="1" applyBorder="1"/>
    <xf numFmtId="0" fontId="44" fillId="0" borderId="20" xfId="0" applyFont="1" applyBorder="1" applyAlignment="1">
      <alignment wrapText="1"/>
    </xf>
    <xf numFmtId="0" fontId="45" fillId="0" borderId="20" xfId="1" applyFont="1" applyBorder="1"/>
    <xf numFmtId="0" fontId="10" fillId="4" borderId="0" xfId="1" applyFill="1"/>
    <xf numFmtId="0" fontId="0" fillId="4" borderId="0" xfId="0" applyFill="1"/>
    <xf numFmtId="0" fontId="22" fillId="4" borderId="17" xfId="0" applyFont="1" applyFill="1" applyBorder="1" applyAlignment="1">
      <alignment wrapText="1"/>
    </xf>
    <xf numFmtId="0" fontId="10" fillId="2" borderId="0" xfId="1" applyFill="1"/>
    <xf numFmtId="0" fontId="0" fillId="10" borderId="17" xfId="0" applyFill="1" applyBorder="1" applyAlignment="1">
      <alignment wrapText="1"/>
    </xf>
    <xf numFmtId="0" fontId="0" fillId="11" borderId="17" xfId="0" applyFill="1" applyBorder="1"/>
    <xf numFmtId="0" fontId="0" fillId="0" borderId="31" xfId="0" applyBorder="1"/>
    <xf numFmtId="0" fontId="22" fillId="2" borderId="26" xfId="0" applyFont="1" applyFill="1" applyBorder="1" applyAlignment="1">
      <alignment wrapText="1"/>
    </xf>
    <xf numFmtId="0" fontId="22" fillId="0" borderId="25" xfId="0" applyFont="1" applyBorder="1" applyAlignment="1">
      <alignment wrapText="1"/>
    </xf>
    <xf numFmtId="0" fontId="0" fillId="0" borderId="0" xfId="1" applyFont="1" applyAlignment="1">
      <alignment wrapText="1"/>
    </xf>
    <xf numFmtId="0" fontId="0" fillId="10" borderId="0" xfId="0" applyFill="1"/>
    <xf numFmtId="17" fontId="0" fillId="0" borderId="0" xfId="0" applyNumberFormat="1"/>
    <xf numFmtId="0" fontId="0" fillId="12" borderId="20" xfId="0" applyFill="1" applyBorder="1"/>
    <xf numFmtId="0" fontId="0" fillId="12" borderId="20" xfId="0" applyFill="1" applyBorder="1" applyAlignment="1">
      <alignment wrapText="1"/>
    </xf>
    <xf numFmtId="165" fontId="0" fillId="12" borderId="0" xfId="0" applyNumberFormat="1" applyFill="1"/>
    <xf numFmtId="167" fontId="0" fillId="0" borderId="77" xfId="0" applyNumberFormat="1" applyBorder="1"/>
    <xf numFmtId="16" fontId="0" fillId="0" borderId="77" xfId="0" applyNumberFormat="1" applyBorder="1"/>
    <xf numFmtId="0" fontId="6" fillId="12" borderId="20" xfId="0" applyFont="1" applyFill="1" applyBorder="1"/>
    <xf numFmtId="0" fontId="6" fillId="12" borderId="20" xfId="0" applyFont="1" applyFill="1" applyBorder="1" applyAlignment="1">
      <alignment wrapText="1"/>
    </xf>
    <xf numFmtId="0" fontId="47" fillId="12" borderId="20" xfId="1" applyFont="1" applyFill="1" applyBorder="1"/>
    <xf numFmtId="165" fontId="6" fillId="12" borderId="0" xfId="0" applyNumberFormat="1" applyFont="1" applyFill="1"/>
    <xf numFmtId="15" fontId="44" fillId="8" borderId="81" xfId="0" applyNumberFormat="1" applyFont="1" applyFill="1" applyBorder="1"/>
    <xf numFmtId="15" fontId="0" fillId="12" borderId="81" xfId="0" applyNumberFormat="1" applyFill="1" applyBorder="1"/>
    <xf numFmtId="15" fontId="44" fillId="0" borderId="81" xfId="0" applyNumberFormat="1" applyFont="1" applyBorder="1"/>
    <xf numFmtId="15" fontId="6" fillId="12" borderId="81" xfId="0" applyNumberFormat="1" applyFont="1" applyFill="1" applyBorder="1"/>
    <xf numFmtId="15" fontId="0" fillId="0" borderId="81" xfId="0" applyNumberFormat="1" applyBorder="1"/>
    <xf numFmtId="0" fontId="0" fillId="0" borderId="23" xfId="0" applyBorder="1"/>
    <xf numFmtId="0" fontId="0" fillId="0" borderId="62" xfId="0" applyBorder="1"/>
    <xf numFmtId="0" fontId="10" fillId="0" borderId="62" xfId="1" applyBorder="1"/>
    <xf numFmtId="0" fontId="48" fillId="12" borderId="20" xfId="0" applyFont="1" applyFill="1" applyBorder="1"/>
    <xf numFmtId="0" fontId="49" fillId="12" borderId="20" xfId="1" applyFont="1" applyFill="1" applyBorder="1"/>
    <xf numFmtId="0" fontId="3" fillId="0" borderId="20" xfId="0" applyFont="1" applyBorder="1"/>
    <xf numFmtId="0" fontId="16" fillId="0" borderId="69" xfId="0" applyFont="1" applyBorder="1" applyAlignment="1">
      <alignment horizontal="center" vertical="top"/>
    </xf>
    <xf numFmtId="0" fontId="49" fillId="0" borderId="20" xfId="1" applyFont="1" applyBorder="1"/>
    <xf numFmtId="0" fontId="44" fillId="0" borderId="0" xfId="0" applyFont="1" applyAlignment="1">
      <alignment wrapText="1"/>
    </xf>
    <xf numFmtId="0" fontId="45" fillId="0" borderId="0" xfId="1" applyFont="1"/>
    <xf numFmtId="0" fontId="50" fillId="0" borderId="0" xfId="0" applyFont="1"/>
    <xf numFmtId="15" fontId="44" fillId="0" borderId="0" xfId="0" applyNumberFormat="1" applyFont="1"/>
    <xf numFmtId="15" fontId="0" fillId="0" borderId="62" xfId="0" applyNumberFormat="1" applyBorder="1"/>
    <xf numFmtId="0" fontId="0" fillId="0" borderId="83" xfId="0" applyBorder="1"/>
    <xf numFmtId="167" fontId="0" fillId="0" borderId="0" xfId="0" applyNumberFormat="1"/>
    <xf numFmtId="15" fontId="0" fillId="0" borderId="16" xfId="0" applyNumberFormat="1" applyBorder="1"/>
    <xf numFmtId="0" fontId="0" fillId="0" borderId="16" xfId="0" applyBorder="1"/>
    <xf numFmtId="167" fontId="0" fillId="0" borderId="16" xfId="0" applyNumberFormat="1" applyBorder="1"/>
    <xf numFmtId="0" fontId="52" fillId="0" borderId="0" xfId="0" applyFont="1"/>
    <xf numFmtId="0" fontId="0" fillId="0" borderId="62" xfId="0" applyBorder="1" applyAlignment="1">
      <alignment wrapText="1"/>
    </xf>
    <xf numFmtId="0" fontId="44" fillId="12" borderId="20" xfId="0" applyFont="1" applyFill="1" applyBorder="1"/>
    <xf numFmtId="0" fontId="10" fillId="12" borderId="20" xfId="1" applyFill="1" applyBorder="1" applyAlignment="1">
      <alignment wrapText="1"/>
    </xf>
    <xf numFmtId="165" fontId="0" fillId="0" borderId="20" xfId="0" applyNumberFormat="1" applyBorder="1"/>
    <xf numFmtId="167" fontId="0" fillId="5" borderId="0" xfId="0" applyNumberFormat="1" applyFill="1"/>
    <xf numFmtId="165" fontId="0" fillId="0" borderId="62" xfId="0" applyNumberFormat="1" applyBorder="1"/>
    <xf numFmtId="0" fontId="6" fillId="5" borderId="0" xfId="0" applyFont="1" applyFill="1"/>
    <xf numFmtId="165" fontId="0" fillId="5" borderId="0" xfId="0" applyNumberFormat="1" applyFill="1" applyAlignment="1">
      <alignment horizontal="left"/>
    </xf>
    <xf numFmtId="165" fontId="0" fillId="0" borderId="0" xfId="0" applyNumberFormat="1" applyAlignment="1">
      <alignment wrapText="1"/>
    </xf>
    <xf numFmtId="0" fontId="17" fillId="10" borderId="0" xfId="0" applyFont="1" applyFill="1"/>
    <xf numFmtId="0" fontId="6" fillId="10" borderId="0" xfId="0" applyFont="1" applyFill="1" applyAlignment="1">
      <alignment wrapText="1"/>
    </xf>
    <xf numFmtId="168" fontId="0" fillId="0" borderId="0" xfId="0" applyNumberFormat="1" applyAlignment="1">
      <alignment horizontal="left"/>
    </xf>
    <xf numFmtId="0" fontId="10" fillId="8" borderId="20" xfId="1" applyFill="1" applyBorder="1"/>
    <xf numFmtId="165" fontId="0" fillId="0" borderId="81" xfId="0" applyNumberFormat="1" applyBorder="1"/>
    <xf numFmtId="0" fontId="54" fillId="0" borderId="20" xfId="0" applyFont="1" applyBorder="1"/>
    <xf numFmtId="165" fontId="44" fillId="0" borderId="81" xfId="0" applyNumberFormat="1" applyFont="1" applyBorder="1"/>
    <xf numFmtId="0" fontId="0" fillId="5" borderId="76" xfId="0" applyFill="1" applyBorder="1"/>
    <xf numFmtId="165" fontId="0" fillId="5" borderId="77" xfId="0" applyNumberFormat="1" applyFill="1" applyBorder="1"/>
    <xf numFmtId="0" fontId="0" fillId="5" borderId="78" xfId="0" applyFill="1" applyBorder="1"/>
    <xf numFmtId="15" fontId="0" fillId="5" borderId="79" xfId="0" applyNumberFormat="1" applyFill="1" applyBorder="1"/>
    <xf numFmtId="0" fontId="0" fillId="5" borderId="79" xfId="0" applyFill="1" applyBorder="1" applyAlignment="1">
      <alignment wrapText="1"/>
    </xf>
    <xf numFmtId="0" fontId="0" fillId="5" borderId="79" xfId="0" applyFill="1" applyBorder="1"/>
    <xf numFmtId="15" fontId="0" fillId="5" borderId="80" xfId="0" applyNumberFormat="1" applyFill="1" applyBorder="1"/>
    <xf numFmtId="0" fontId="0" fillId="5" borderId="73" xfId="0" applyFill="1" applyBorder="1"/>
    <xf numFmtId="0" fontId="0" fillId="5" borderId="74" xfId="0" applyFill="1" applyBorder="1"/>
    <xf numFmtId="165" fontId="0" fillId="5" borderId="74" xfId="0" applyNumberFormat="1" applyFill="1" applyBorder="1"/>
    <xf numFmtId="0" fontId="0" fillId="5" borderId="74" xfId="0" applyFill="1" applyBorder="1" applyAlignment="1">
      <alignment wrapText="1"/>
    </xf>
    <xf numFmtId="0" fontId="0" fillId="5" borderId="75" xfId="0" applyFill="1" applyBorder="1"/>
    <xf numFmtId="0" fontId="0" fillId="5" borderId="77" xfId="0" applyFill="1" applyBorder="1"/>
    <xf numFmtId="0" fontId="0" fillId="5" borderId="80" xfId="0" applyFill="1" applyBorder="1"/>
    <xf numFmtId="0" fontId="49" fillId="0" borderId="20" xfId="1" applyFont="1" applyFill="1" applyBorder="1"/>
    <xf numFmtId="15" fontId="0" fillId="0" borderId="82" xfId="0" applyNumberFormat="1" applyBorder="1"/>
    <xf numFmtId="0" fontId="6" fillId="0" borderId="20" xfId="0" applyFont="1" applyBorder="1" applyAlignment="1">
      <alignment wrapText="1"/>
    </xf>
    <xf numFmtId="0" fontId="6" fillId="0" borderId="20" xfId="0" applyFont="1" applyBorder="1"/>
    <xf numFmtId="0" fontId="44" fillId="12" borderId="20" xfId="0" applyFont="1" applyFill="1" applyBorder="1" applyAlignment="1">
      <alignment wrapText="1"/>
    </xf>
    <xf numFmtId="0" fontId="11" fillId="0" borderId="64" xfId="0" applyFont="1" applyBorder="1" applyAlignment="1">
      <alignment horizontal="center" wrapText="1"/>
    </xf>
    <xf numFmtId="0" fontId="11" fillId="0" borderId="65" xfId="0" applyFont="1" applyBorder="1" applyAlignment="1">
      <alignment horizontal="center" wrapText="1"/>
    </xf>
    <xf numFmtId="0" fontId="11" fillId="0" borderId="66" xfId="0" applyFont="1" applyBorder="1" applyAlignment="1">
      <alignment horizontal="center" wrapText="1"/>
    </xf>
    <xf numFmtId="0" fontId="8" fillId="0" borderId="0" xfId="0" applyFont="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2" fillId="3" borderId="0" xfId="0" applyFont="1" applyFill="1" applyAlignment="1">
      <alignment horizontal="center"/>
    </xf>
    <xf numFmtId="0" fontId="3" fillId="0" borderId="0" xfId="0" applyFont="1" applyAlignment="1">
      <alignment horizontal="center"/>
    </xf>
    <xf numFmtId="0" fontId="33" fillId="0" borderId="0" xfId="0" applyFont="1" applyAlignment="1"/>
  </cellXfs>
  <cellStyles count="2">
    <cellStyle name="Hyperlink" xfId="1" xr:uid="{00000000-000B-0000-0000-000008000000}"/>
    <cellStyle name="Normal" xfId="0" builtinId="0"/>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C7CE"/>
      <color rgb="FFCC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2.xml.rels><?xml version="1.0" encoding="UTF-8" standalone="yes"?>
<Relationships xmlns="http://schemas.openxmlformats.org/package/2006/relationships"><Relationship Id="rId1" Type="http://schemas.openxmlformats.org/officeDocument/2006/relationships/hyperlink" Target="#TOC!A1"/></Relationships>
</file>

<file path=xl/drawings/_rels/drawing3.xml.rels><?xml version="1.0" encoding="UTF-8" standalone="yes"?>
<Relationships xmlns="http://schemas.openxmlformats.org/package/2006/relationships"><Relationship Id="rId1" Type="http://schemas.openxmlformats.org/officeDocument/2006/relationships/hyperlink" Target="#TOC!A1"/></Relationships>
</file>

<file path=xl/drawings/_rels/drawing4.xml.rels><?xml version="1.0" encoding="UTF-8" standalone="yes"?>
<Relationships xmlns="http://schemas.openxmlformats.org/package/2006/relationships"><Relationship Id="rId1" Type="http://schemas.openxmlformats.org/officeDocument/2006/relationships/hyperlink" Target="#TOC!A1"/></Relationships>
</file>

<file path=xl/drawings/_rels/drawing5.xml.rels><?xml version="1.0" encoding="UTF-8" standalone="yes"?>
<Relationships xmlns="http://schemas.openxmlformats.org/package/2006/relationships"><Relationship Id="rId1" Type="http://schemas.openxmlformats.org/officeDocument/2006/relationships/hyperlink" Target="#TOC!A1"/></Relationships>
</file>

<file path=xl/drawings/_rels/drawing6.xml.rels><?xml version="1.0" encoding="UTF-8" standalone="yes"?>
<Relationships xmlns="http://schemas.openxmlformats.org/package/2006/relationships"><Relationship Id="rId1" Type="http://schemas.openxmlformats.org/officeDocument/2006/relationships/hyperlink" Target="#TOC!A1"/></Relationships>
</file>

<file path=xl/drawings/_rels/drawing7.xml.rels><?xml version="1.0" encoding="UTF-8" standalone="yes"?>
<Relationships xmlns="http://schemas.openxmlformats.org/package/2006/relationships"><Relationship Id="rId1" Type="http://schemas.openxmlformats.org/officeDocument/2006/relationships/hyperlink" Target="#TOC!A1"/></Relationships>
</file>

<file path=xl/drawings/_rels/drawing8.xml.rels><?xml version="1.0" encoding="UTF-8" standalone="yes"?>
<Relationships xmlns="http://schemas.openxmlformats.org/package/2006/relationships"><Relationship Id="rId1" Type="http://schemas.openxmlformats.org/officeDocument/2006/relationships/hyperlink" Target="#TOC!A1"/></Relationships>
</file>

<file path=xl/drawings/_rels/drawing9.xml.rels><?xml version="1.0" encoding="UTF-8" standalone="yes"?>
<Relationships xmlns="http://schemas.openxmlformats.org/package/2006/relationships"><Relationship Id="rId1" Type="http://schemas.openxmlformats.org/officeDocument/2006/relationships/hyperlink" Target="#TOC!A1"/></Relationships>
</file>

<file path=xl/drawings/_rels/drawing10.xml.rels><?xml version="1.0" encoding="UTF-8" standalone="yes"?>
<Relationships xmlns="http://schemas.openxmlformats.org/package/2006/relationships"><Relationship Id="rId1" Type="http://schemas.openxmlformats.org/officeDocument/2006/relationships/hyperlink" Target="#TOC!A1"/></Relationships>
</file>

<file path=xl/drawings/_rels/drawing11.xml.rels><?xml version="1.0" encoding="UTF-8" standalone="yes"?>
<Relationships xmlns="http://schemas.openxmlformats.org/package/2006/relationships"><Relationship Id="rId1" Type="http://schemas.openxmlformats.org/officeDocument/2006/relationships/hyperlink" Target="#TOC!A1"/></Relationships>
</file>

<file path=xl/drawings/_rels/drawing12.xml.rels><?xml version="1.0" encoding="UTF-8" standalone="yes"?>
<Relationships xmlns="http://schemas.openxmlformats.org/package/2006/relationships"><Relationship Id="rId1" Type="http://schemas.openxmlformats.org/officeDocument/2006/relationships/hyperlink" Target="#TOC!A1"/></Relationships>
</file>

<file path=xl/drawings/_rels/drawing13.xml.rels><?xml version="1.0" encoding="UTF-8" standalone="yes"?>
<Relationships xmlns="http://schemas.openxmlformats.org/package/2006/relationships"><Relationship Id="rId1" Type="http://schemas.openxmlformats.org/officeDocument/2006/relationships/hyperlink" Target="#TOC!A1"/></Relationships>
</file>

<file path=xl/drawings/_rels/drawing14.xml.rels><?xml version="1.0" encoding="UTF-8" standalone="yes"?>
<Relationships xmlns="http://schemas.openxmlformats.org/package/2006/relationships"><Relationship Id="rId1" Type="http://schemas.openxmlformats.org/officeDocument/2006/relationships/hyperlink" Target="#TOC!A1"/></Relationships>
</file>

<file path=xl/drawings/_rels/drawing15.xml.rels><?xml version="1.0" encoding="UTF-8" standalone="yes"?>
<Relationships xmlns="http://schemas.openxmlformats.org/package/2006/relationships"><Relationship Id="rId1" Type="http://schemas.openxmlformats.org/officeDocument/2006/relationships/hyperlink" Target="#TOC!A1"/></Relationships>
</file>

<file path=xl/drawings/_rels/drawing16.xml.rels><?xml version="1.0" encoding="UTF-8" standalone="yes"?>
<Relationships xmlns="http://schemas.openxmlformats.org/package/2006/relationships"><Relationship Id="rId1" Type="http://schemas.openxmlformats.org/officeDocument/2006/relationships/hyperlink" Target="#TOC!A1"/></Relationships>
</file>

<file path=xl/drawings/_rels/drawing17.xml.rels><?xml version="1.0" encoding="UTF-8" standalone="yes"?>
<Relationships xmlns="http://schemas.openxmlformats.org/package/2006/relationships"><Relationship Id="rId1" Type="http://schemas.openxmlformats.org/officeDocument/2006/relationships/hyperlink" Target="#TOC!A1"/></Relationships>
</file>

<file path=xl/drawings/_rels/drawing18.xml.rels><?xml version="1.0" encoding="UTF-8" standalone="yes"?>
<Relationships xmlns="http://schemas.openxmlformats.org/package/2006/relationships"><Relationship Id="rId1" Type="http://schemas.openxmlformats.org/officeDocument/2006/relationships/hyperlink" Target="#TOC!A1"/></Relationships>
</file>

<file path=xl/drawings/_rels/drawing19.xml.rels><?xml version="1.0" encoding="UTF-8" standalone="yes"?>
<Relationships xmlns="http://schemas.openxmlformats.org/package/2006/relationships"><Relationship Id="rId1" Type="http://schemas.openxmlformats.org/officeDocument/2006/relationships/hyperlink" Target="#TOC!A1"/></Relationships>
</file>

<file path=xl/drawings/_rels/drawing20.xml.rels><?xml version="1.0" encoding="UTF-8" standalone="yes"?>
<Relationships xmlns="http://schemas.openxmlformats.org/package/2006/relationships"><Relationship Id="rId1" Type="http://schemas.openxmlformats.org/officeDocument/2006/relationships/hyperlink" Target="#TOC!A1"/></Relationships>
</file>

<file path=xl/drawings/_rels/drawing21.xml.rels><?xml version="1.0" encoding="UTF-8" standalone="yes"?>
<Relationships xmlns="http://schemas.openxmlformats.org/package/2006/relationships"><Relationship Id="rId1" Type="http://schemas.openxmlformats.org/officeDocument/2006/relationships/hyperlink" Target="#TOC!A1"/></Relationships>
</file>

<file path=xl/drawings/_rels/drawing22.xml.rels><?xml version="1.0" encoding="UTF-8" standalone="yes"?>
<Relationships xmlns="http://schemas.openxmlformats.org/package/2006/relationships"><Relationship Id="rId1" Type="http://schemas.openxmlformats.org/officeDocument/2006/relationships/hyperlink" Target="#TOC!A1"/></Relationships>
</file>

<file path=xl/drawings/_rels/drawing23.xml.rels><?xml version="1.0" encoding="UTF-8" standalone="yes"?>
<Relationships xmlns="http://schemas.openxmlformats.org/package/2006/relationships"><Relationship Id="rId1" Type="http://schemas.openxmlformats.org/officeDocument/2006/relationships/hyperlink" Target="#TOC!A1"/></Relationships>
</file>

<file path=xl/drawings/_rels/drawing24.xml.rels><?xml version="1.0" encoding="UTF-8" standalone="yes"?>
<Relationships xmlns="http://schemas.openxmlformats.org/package/2006/relationships"><Relationship Id="rId1" Type="http://schemas.openxmlformats.org/officeDocument/2006/relationships/hyperlink" Target="#TOC!A1"/></Relationships>
</file>

<file path=xl/drawings/_rels/drawing25.xml.rels><?xml version="1.0" encoding="UTF-8" standalone="yes"?>
<Relationships xmlns="http://schemas.openxmlformats.org/package/2006/relationships"><Relationship Id="rId1" Type="http://schemas.openxmlformats.org/officeDocument/2006/relationships/hyperlink" Target="#TOC!A1"/></Relationships>
</file>

<file path=xl/drawings/_rels/drawing26.xml.rels><?xml version="1.0" encoding="UTF-8" standalone="yes"?>
<Relationships xmlns="http://schemas.openxmlformats.org/package/2006/relationships"><Relationship Id="rId1" Type="http://schemas.openxmlformats.org/officeDocument/2006/relationships/hyperlink" Target="#TOC!A1"/></Relationships>
</file>

<file path=xl/drawings/_rels/drawing27.xml.rels><?xml version="1.0" encoding="UTF-8" standalone="yes"?>
<Relationships xmlns="http://schemas.openxmlformats.org/package/2006/relationships"><Relationship Id="rId1" Type="http://schemas.openxmlformats.org/officeDocument/2006/relationships/hyperlink" Target="#TOC!A1"/></Relationships>
</file>

<file path=xl/drawings/_rels/drawing28.xml.rels><?xml version="1.0" encoding="UTF-8" standalone="yes"?>
<Relationships xmlns="http://schemas.openxmlformats.org/package/2006/relationships"><Relationship Id="rId1" Type="http://schemas.openxmlformats.org/officeDocument/2006/relationships/hyperlink" Target="#TOC!A1"/></Relationships>
</file>

<file path=xl/drawings/_rels/drawing29.xml.rels><?xml version="1.0" encoding="UTF-8" standalone="yes"?>
<Relationships xmlns="http://schemas.openxmlformats.org/package/2006/relationships"><Relationship Id="rId1" Type="http://schemas.openxmlformats.org/officeDocument/2006/relationships/hyperlink" Target="#TOC!A1"/></Relationships>
</file>

<file path=xl/drawings/_rels/drawing30.xml.rels><?xml version="1.0" encoding="UTF-8" standalone="yes"?>
<Relationships xmlns="http://schemas.openxmlformats.org/package/2006/relationships"><Relationship Id="rId1" Type="http://schemas.openxmlformats.org/officeDocument/2006/relationships/hyperlink" Target="#TOC!A1"/></Relationships>
</file>

<file path=xl/drawings/_rels/drawing31.xml.rels><?xml version="1.0" encoding="UTF-8" standalone="yes"?>
<Relationships xmlns="http://schemas.openxmlformats.org/package/2006/relationships"><Relationship Id="rId1" Type="http://schemas.openxmlformats.org/officeDocument/2006/relationships/hyperlink" Target="#TOC!A1"/></Relationships>
</file>

<file path=xl/drawings/_rels/drawing32.xml.rels><?xml version="1.0" encoding="UTF-8" standalone="yes"?>
<Relationships xmlns="http://schemas.openxmlformats.org/package/2006/relationships"><Relationship Id="rId1" Type="http://schemas.openxmlformats.org/officeDocument/2006/relationships/hyperlink" Target="#TOC!A1"/></Relationships>
</file>

<file path=xl/drawings/_rels/drawing33.xml.rels><?xml version="1.0" encoding="UTF-8" standalone="yes"?>
<Relationships xmlns="http://schemas.openxmlformats.org/package/2006/relationships"><Relationship Id="rId1" Type="http://schemas.openxmlformats.org/officeDocument/2006/relationships/hyperlink" Target="#TOC!A1"/></Relationships>
</file>

<file path=xl/drawings/_rels/drawing34.xml.rels><?xml version="1.0" encoding="UTF-8" standalone="yes"?>
<Relationships xmlns="http://schemas.openxmlformats.org/package/2006/relationships"><Relationship Id="rId1" Type="http://schemas.openxmlformats.org/officeDocument/2006/relationships/hyperlink" Target="#TOC!A1"/></Relationships>
</file>

<file path=xl/drawings/_rels/drawing35.xml.rels><?xml version="1.0" encoding="UTF-8" standalone="yes"?>
<Relationships xmlns="http://schemas.openxmlformats.org/package/2006/relationships"><Relationship Id="rId1" Type="http://schemas.openxmlformats.org/officeDocument/2006/relationships/hyperlink" Target="#TOC!A1"/></Relationships>
</file>

<file path=xl/drawings/_rels/drawing36.xml.rels><?xml version="1.0" encoding="UTF-8" standalone="yes"?>
<Relationships xmlns="http://schemas.openxmlformats.org/package/2006/relationships"><Relationship Id="rId1" Type="http://schemas.openxmlformats.org/officeDocument/2006/relationships/hyperlink" Target="#TOC!A1"/></Relationships>
</file>

<file path=xl/drawings/drawing1.xml><?xml version="1.0" encoding="utf-8"?>
<xdr:wsDr xmlns:xdr="http://schemas.openxmlformats.org/drawingml/2006/spreadsheetDrawing" xmlns:a="http://schemas.openxmlformats.org/drawingml/2006/main">
  <xdr:twoCellAnchor>
    <xdr:from>
      <xdr:col>2</xdr:col>
      <xdr:colOff>2222500</xdr:colOff>
      <xdr:row>0</xdr:row>
      <xdr:rowOff>38100</xdr:rowOff>
    </xdr:from>
    <xdr:to>
      <xdr:col>2</xdr:col>
      <xdr:colOff>3378200</xdr:colOff>
      <xdr:row>2</xdr:row>
      <xdr:rowOff>50800</xdr:rowOff>
    </xdr:to>
    <xdr:sp macro="[0]!GoForward" textlink="">
      <xdr:nvSpPr>
        <xdr:cNvPr id="6" name="Right Arrow 1">
          <a:extLst>
            <a:ext uri="{FF2B5EF4-FFF2-40B4-BE49-F238E27FC236}">
              <a16:creationId xmlns:a16="http://schemas.microsoft.com/office/drawing/2014/main" id="{B7C8C388-0B89-1B98-3E9A-96AF80152A33}"/>
            </a:ext>
          </a:extLst>
        </xdr:cNvPr>
        <xdr:cNvSpPr/>
      </xdr:nvSpPr>
      <xdr:spPr>
        <a:xfrm>
          <a:off x="10655300" y="38100"/>
          <a:ext cx="1155700" cy="7493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Forward</a:t>
          </a:r>
        </a:p>
      </xdr:txBody>
    </xdr:sp>
    <xdr:clientData/>
  </xdr:twoCellAnchor>
  <xdr:twoCellAnchor>
    <xdr:from>
      <xdr:col>1</xdr:col>
      <xdr:colOff>3733800</xdr:colOff>
      <xdr:row>0</xdr:row>
      <xdr:rowOff>63500</xdr:rowOff>
    </xdr:from>
    <xdr:to>
      <xdr:col>2</xdr:col>
      <xdr:colOff>660400</xdr:colOff>
      <xdr:row>2</xdr:row>
      <xdr:rowOff>76200</xdr:rowOff>
    </xdr:to>
    <xdr:sp macro="[0]!GoBack" textlink="">
      <xdr:nvSpPr>
        <xdr:cNvPr id="7" name="Right Arrow 2">
          <a:extLst>
            <a:ext uri="{FF2B5EF4-FFF2-40B4-BE49-F238E27FC236}">
              <a16:creationId xmlns:a16="http://schemas.microsoft.com/office/drawing/2014/main" id="{49DFDC52-092D-FC4B-A21D-D68BA4CB869B}"/>
            </a:ext>
          </a:extLst>
        </xdr:cNvPr>
        <xdr:cNvSpPr/>
      </xdr:nvSpPr>
      <xdr:spPr>
        <a:xfrm flipH="1">
          <a:off x="7950200" y="63500"/>
          <a:ext cx="1143000" cy="7493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BACK</a:t>
          </a:r>
          <a:endParaRPr lang="en-GB" sz="1100"/>
        </a:p>
      </xdr:txBody>
    </xdr:sp>
    <xdr:clientData/>
  </xdr:twoCellAnchor>
  <xdr:twoCellAnchor>
    <xdr:from>
      <xdr:col>2</xdr:col>
      <xdr:colOff>825500</xdr:colOff>
      <xdr:row>0</xdr:row>
      <xdr:rowOff>63500</xdr:rowOff>
    </xdr:from>
    <xdr:to>
      <xdr:col>2</xdr:col>
      <xdr:colOff>2057400</xdr:colOff>
      <xdr:row>2</xdr:row>
      <xdr:rowOff>50800</xdr:rowOff>
    </xdr:to>
    <xdr:sp macro="[0]!GoToTOC" textlink="">
      <xdr:nvSpPr>
        <xdr:cNvPr id="9" name="Rounded Rectangle 3">
          <a:extLst>
            <a:ext uri="{FF2B5EF4-FFF2-40B4-BE49-F238E27FC236}">
              <a16:creationId xmlns:a16="http://schemas.microsoft.com/office/drawing/2014/main" id="{CD74970B-C517-0E81-10AA-8CF3F21CF0F9}"/>
            </a:ext>
          </a:extLst>
        </xdr:cNvPr>
        <xdr:cNvSpPr/>
      </xdr:nvSpPr>
      <xdr:spPr>
        <a:xfrm>
          <a:off x="9258300" y="63500"/>
          <a:ext cx="1231900" cy="723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200"/>
            <a:t>TOC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622300</xdr:colOff>
      <xdr:row>0</xdr:row>
      <xdr:rowOff>177800</xdr:rowOff>
    </xdr:from>
    <xdr:to>
      <xdr:col>20</xdr:col>
      <xdr:colOff>800100</xdr:colOff>
      <xdr:row>547</xdr:row>
      <xdr:rowOff>50800</xdr:rowOff>
    </xdr:to>
    <xdr:sp macro="" textlink="">
      <xdr:nvSpPr>
        <xdr:cNvPr id="2" name="TextBox 1">
          <a:extLst>
            <a:ext uri="{FF2B5EF4-FFF2-40B4-BE49-F238E27FC236}">
              <a16:creationId xmlns:a16="http://schemas.microsoft.com/office/drawing/2014/main" id="{6B6531D5-4B43-7C29-AD9B-FB1F751383B5}"/>
            </a:ext>
          </a:extLst>
        </xdr:cNvPr>
        <xdr:cNvSpPr txBox="1"/>
      </xdr:nvSpPr>
      <xdr:spPr>
        <a:xfrm>
          <a:off x="2374900" y="177800"/>
          <a:ext cx="15951200" cy="10407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ISO 27001 Workbook: Sheet and Column Descriptions</a:t>
          </a:r>
          <a:endParaRPr lang="en-GB" sz="1800"/>
        </a:p>
        <a:p>
          <a:r>
            <a:rPr lang="en-GB" sz="1800"/>
            <a:t>This document provides a structured overview of the ISO 27001 workbook, including descriptions for each sheet and relevant columns within logs, trackers, and review sheets.</a:t>
          </a:r>
        </a:p>
        <a:p>
          <a:r>
            <a:rPr lang="en-GB" sz="1800" b="1"/>
            <a:t>Workbook Sheet Descriptions</a:t>
          </a:r>
        </a:p>
        <a:p>
          <a:r>
            <a:rPr lang="en-GB" sz="1800" b="1"/>
            <a:t>1. TOC (Table of Contents)</a:t>
          </a:r>
        </a:p>
        <a:p>
          <a:r>
            <a:rPr lang="en-GB" sz="1800"/>
            <a:t>Provides links to all sheets in the workbook for easy navigation.</a:t>
          </a:r>
        </a:p>
        <a:p>
          <a:r>
            <a:rPr lang="en-GB" sz="1800" b="1"/>
            <a:t>2. Documentation</a:t>
          </a:r>
        </a:p>
        <a:p>
          <a:r>
            <a:rPr lang="en-GB" sz="1800"/>
            <a:t>Repository of key ISO 27001 documents referenced in policies and procedures.</a:t>
          </a:r>
        </a:p>
        <a:p>
          <a:r>
            <a:rPr lang="en-GB" sz="1800" b="1"/>
            <a:t>3. This Doc Change Control</a:t>
          </a:r>
        </a:p>
        <a:p>
          <a:r>
            <a:rPr lang="en-GB" sz="1800"/>
            <a:t>Log for tracking updates, revisions, and approvals to the ISO 27001 workbook.</a:t>
          </a:r>
        </a:p>
        <a:p>
          <a:r>
            <a:rPr lang="en-GB" sz="1800" b="1"/>
            <a:t>4. ISMS Objectives</a:t>
          </a:r>
        </a:p>
        <a:p>
          <a:r>
            <a:rPr lang="en-GB" sz="1800"/>
            <a:t>Defines the ISMS objectives in alignment with ISO 27001 requirements.</a:t>
          </a:r>
        </a:p>
        <a:p>
          <a:r>
            <a:rPr lang="en-GB" sz="1800" b="1"/>
            <a:t>5. Instructions and Definitions</a:t>
          </a:r>
        </a:p>
        <a:p>
          <a:r>
            <a:rPr lang="en-GB" sz="1800"/>
            <a:t>Guidance on using the workbook, key terms, and definitions for compliance tracking.</a:t>
          </a:r>
        </a:p>
        <a:p>
          <a:r>
            <a:rPr lang="en-GB" sz="1800" b="1"/>
            <a:t>6. Asset Register</a:t>
          </a:r>
        </a:p>
        <a:p>
          <a:r>
            <a:rPr lang="en-GB" sz="1800"/>
            <a:t>Maintains a comprehensive inventory of all information assets (and relevant technology, process, and people assets) used in the organization.</a:t>
          </a:r>
        </a:p>
        <a:p>
          <a:r>
            <a:rPr lang="en-GB" sz="1800" b="1"/>
            <a:t>Columns:</a:t>
          </a:r>
          <a:endParaRPr lang="en-GB" sz="1800"/>
        </a:p>
        <a:p>
          <a:r>
            <a:rPr lang="en-GB" sz="1800" b="1"/>
            <a:t>Asset ID</a:t>
          </a:r>
          <a:r>
            <a:rPr lang="en-GB" sz="1800"/>
            <a:t> – Unique identifier for the asset.</a:t>
          </a:r>
        </a:p>
        <a:p>
          <a:r>
            <a:rPr lang="en-GB" sz="1800" b="1"/>
            <a:t>Asset Name</a:t>
          </a:r>
          <a:r>
            <a:rPr lang="en-GB" sz="1800"/>
            <a:t> – Descriptive name of the asset.</a:t>
          </a:r>
        </a:p>
        <a:p>
          <a:r>
            <a:rPr lang="en-GB" sz="1800" b="1"/>
            <a:t>Owner</a:t>
          </a:r>
          <a:r>
            <a:rPr lang="en-GB" sz="1800"/>
            <a:t> – Person or team responsible for the asset.</a:t>
          </a:r>
        </a:p>
        <a:p>
          <a:r>
            <a:rPr lang="en-GB" sz="1800" b="1"/>
            <a:t>Asset Type</a:t>
          </a:r>
          <a:r>
            <a:rPr lang="en-GB" sz="1800"/>
            <a:t> – Category of asset (e.g., Information, Technology, Process, People).</a:t>
          </a:r>
        </a:p>
        <a:p>
          <a:r>
            <a:rPr lang="en-GB" sz="1800" b="1"/>
            <a:t>Location</a:t>
          </a:r>
          <a:r>
            <a:rPr lang="en-GB" sz="1800"/>
            <a:t> – Where the asset is stored or used (e.g., Odoo Cloud, MSFT SharePoint, Remote Work Locations).</a:t>
          </a:r>
        </a:p>
        <a:p>
          <a:r>
            <a:rPr lang="en-GB" sz="1800" b="1"/>
            <a:t>Value</a:t>
          </a:r>
          <a:r>
            <a:rPr lang="en-GB" sz="1800"/>
            <a:t> – Business value of the asset.</a:t>
          </a:r>
        </a:p>
        <a:p>
          <a:r>
            <a:rPr lang="en-GB" sz="1800" b="1"/>
            <a:t>Confidentiality Rating</a:t>
          </a:r>
          <a:r>
            <a:rPr lang="en-GB" sz="1800"/>
            <a:t> – Level of confidentiality required for the asset.</a:t>
          </a:r>
        </a:p>
        <a:p>
          <a:r>
            <a:rPr lang="en-GB" sz="1800" b="1"/>
            <a:t>Integrity Rating</a:t>
          </a:r>
          <a:r>
            <a:rPr lang="en-GB" sz="1800"/>
            <a:t> – Level of integrity protection required.</a:t>
          </a:r>
        </a:p>
        <a:p>
          <a:r>
            <a:rPr lang="en-GB" sz="1800" b="1"/>
            <a:t>Availability Rating</a:t>
          </a:r>
          <a:r>
            <a:rPr lang="en-GB" sz="1800"/>
            <a:t> – Level of availability required.</a:t>
          </a:r>
        </a:p>
        <a:p>
          <a:r>
            <a:rPr lang="en-GB" sz="1800" b="1"/>
            <a:t>Risk Level</a:t>
          </a:r>
          <a:r>
            <a:rPr lang="en-GB" sz="1800"/>
            <a:t> – Overall risk rating assigned to the asset.</a:t>
          </a:r>
        </a:p>
        <a:p>
          <a:r>
            <a:rPr lang="en-GB" sz="1800" b="1"/>
            <a:t>Mitigation Actions</a:t>
          </a:r>
          <a:r>
            <a:rPr lang="en-GB" sz="1800"/>
            <a:t> – Security controls in place to mitigate risks.</a:t>
          </a:r>
        </a:p>
        <a:p>
          <a:r>
            <a:rPr lang="en-GB" sz="1800" b="1"/>
            <a:t>Comments</a:t>
          </a:r>
          <a:r>
            <a:rPr lang="en-GB" sz="1800"/>
            <a:t> – Additional notes on the asset’s usage and criticality.</a:t>
          </a:r>
        </a:p>
        <a:p>
          <a:r>
            <a:rPr lang="en-GB" sz="1800" b="1"/>
            <a:t>7. Risk Register</a:t>
          </a:r>
        </a:p>
        <a:p>
          <a:r>
            <a:rPr lang="en-GB" sz="1800"/>
            <a:t>Records all identified risks that could impact assets, processes, or overall information security.</a:t>
          </a:r>
        </a:p>
        <a:p>
          <a:r>
            <a:rPr lang="en-GB" sz="1800" b="1"/>
            <a:t>Columns:</a:t>
          </a:r>
          <a:endParaRPr lang="en-GB" sz="1800"/>
        </a:p>
        <a:p>
          <a:r>
            <a:rPr lang="en-GB" sz="1800" b="1"/>
            <a:t>Risk ID</a:t>
          </a:r>
          <a:r>
            <a:rPr lang="en-GB" sz="1800"/>
            <a:t> – Unique identifier for the risk.</a:t>
          </a:r>
        </a:p>
        <a:p>
          <a:r>
            <a:rPr lang="en-GB" sz="1800" b="1"/>
            <a:t>Asset ID</a:t>
          </a:r>
          <a:r>
            <a:rPr lang="en-GB" sz="1800"/>
            <a:t> – Identifier linking the risk to an asset.</a:t>
          </a:r>
        </a:p>
        <a:p>
          <a:r>
            <a:rPr lang="en-GB" sz="1800" b="1"/>
            <a:t>Risk Description</a:t>
          </a:r>
          <a:r>
            <a:rPr lang="en-GB" sz="1800"/>
            <a:t> – Detailed description of the risk.</a:t>
          </a:r>
        </a:p>
        <a:p>
          <a:r>
            <a:rPr lang="en-GB" sz="1800" b="1"/>
            <a:t>Risk Owner</a:t>
          </a:r>
          <a:r>
            <a:rPr lang="en-GB" sz="1800"/>
            <a:t> – Person responsible for managing the risk.</a:t>
          </a:r>
        </a:p>
        <a:p>
          <a:r>
            <a:rPr lang="en-GB" sz="1800" b="1"/>
            <a:t>Likelihood</a:t>
          </a:r>
          <a:r>
            <a:rPr lang="en-GB" sz="1800"/>
            <a:t> – Probability of risk occurrence.</a:t>
          </a:r>
        </a:p>
        <a:p>
          <a:r>
            <a:rPr lang="en-GB" sz="1800" b="1"/>
            <a:t>Impact</a:t>
          </a:r>
          <a:r>
            <a:rPr lang="en-GB" sz="1800"/>
            <a:t> – Effect on business operations if risk occurs.</a:t>
          </a:r>
        </a:p>
        <a:p>
          <a:r>
            <a:rPr lang="en-GB" sz="1800" b="1"/>
            <a:t>Risk Score</a:t>
          </a:r>
          <a:r>
            <a:rPr lang="en-GB" sz="1800"/>
            <a:t> – Calculated risk level based on likelihood and impact.</a:t>
          </a:r>
        </a:p>
        <a:p>
          <a:r>
            <a:rPr lang="en-GB" sz="1800" b="1"/>
            <a:t>Mitigation Plan</a:t>
          </a:r>
          <a:r>
            <a:rPr lang="en-GB" sz="1800"/>
            <a:t> – Actions taken to mitigate the risk.</a:t>
          </a:r>
        </a:p>
        <a:p>
          <a:r>
            <a:rPr lang="en-GB" sz="1800" b="1"/>
            <a:t>Status</a:t>
          </a:r>
          <a:r>
            <a:rPr lang="en-GB" sz="1800"/>
            <a:t> – Current status of risk treatment.</a:t>
          </a:r>
        </a:p>
        <a:p>
          <a:r>
            <a:rPr lang="en-GB" sz="1800" b="1"/>
            <a:t>8. Risk Treatment Plan</a:t>
          </a:r>
        </a:p>
        <a:p>
          <a:r>
            <a:rPr lang="en-GB" sz="1800"/>
            <a:t>Documents and tracks the mitigation, acceptance, transfer, or avoidance measures applied to each identified risk.</a:t>
          </a:r>
        </a:p>
        <a:p>
          <a:r>
            <a:rPr lang="en-GB" sz="1800" b="1"/>
            <a:t>Columns:</a:t>
          </a:r>
          <a:endParaRPr lang="en-GB" sz="1800"/>
        </a:p>
        <a:p>
          <a:r>
            <a:rPr lang="en-GB" sz="1800" b="1"/>
            <a:t>Risk ID</a:t>
          </a:r>
          <a:r>
            <a:rPr lang="en-GB" sz="1800"/>
            <a:t> – Unique identifier for the risk.</a:t>
          </a:r>
        </a:p>
        <a:p>
          <a:r>
            <a:rPr lang="en-GB" sz="1800" b="1"/>
            <a:t>Asset ID</a:t>
          </a:r>
          <a:r>
            <a:rPr lang="en-GB" sz="1800"/>
            <a:t> – Identifier linking back to the Risk Register.</a:t>
          </a:r>
        </a:p>
        <a:p>
          <a:r>
            <a:rPr lang="en-GB" sz="1800" b="1"/>
            <a:t>Risk Description</a:t>
          </a:r>
          <a:r>
            <a:rPr lang="en-GB" sz="1800"/>
            <a:t> – Description of the risk.</a:t>
          </a:r>
        </a:p>
        <a:p>
          <a:r>
            <a:rPr lang="en-GB" sz="1800" b="1"/>
            <a:t>Treatment Strategy</a:t>
          </a:r>
          <a:r>
            <a:rPr lang="en-GB" sz="1800"/>
            <a:t> – Approach for handling the risk (e.g., Mitigate, Accept, Transfer).</a:t>
          </a:r>
        </a:p>
        <a:p>
          <a:r>
            <a:rPr lang="en-GB" sz="1800" b="1"/>
            <a:t>Treatment Action</a:t>
          </a:r>
          <a:r>
            <a:rPr lang="en-GB" sz="1800"/>
            <a:t> – Detailed mitigation steps.</a:t>
          </a:r>
        </a:p>
        <a:p>
          <a:r>
            <a:rPr lang="en-GB" sz="1800" b="1"/>
            <a:t>Control</a:t>
          </a:r>
          <a:r>
            <a:rPr lang="en-GB" sz="1800" b="1" baseline="0"/>
            <a:t> Description </a:t>
          </a:r>
          <a:r>
            <a:rPr lang="en-GB" sz="1800"/>
            <a:t>–</a:t>
          </a:r>
          <a:r>
            <a:rPr lang="en-GB" sz="1800" baseline="0"/>
            <a:t> Description according to Statement of Applicability.</a:t>
          </a:r>
        </a:p>
        <a:p>
          <a:r>
            <a:rPr lang="en-GB" sz="1800" b="1"/>
            <a:t>Control</a:t>
          </a:r>
          <a:r>
            <a:rPr lang="en-GB" sz="1800" b="1" baseline="0"/>
            <a:t>  </a:t>
          </a:r>
          <a:r>
            <a:rPr lang="en-GB" sz="1800"/>
            <a:t>–</a:t>
          </a:r>
          <a:r>
            <a:rPr lang="en-GB" sz="1800" baseline="0"/>
            <a:t> Control Section  from standard </a:t>
          </a:r>
          <a:endParaRPr lang="en-GB" sz="1800"/>
        </a:p>
        <a:p>
          <a:r>
            <a:rPr lang="en-GB" sz="1800" b="1"/>
            <a:t>Implementation Date</a:t>
          </a:r>
          <a:r>
            <a:rPr lang="en-GB" sz="1800"/>
            <a:t> – Date mitigation was applied.</a:t>
          </a:r>
        </a:p>
        <a:p>
          <a:r>
            <a:rPr lang="en-GB" sz="1800" b="1"/>
            <a:t>Residual Risk</a:t>
          </a:r>
          <a:r>
            <a:rPr lang="en-GB" sz="1800"/>
            <a:t> – Risk level after mitigation measures are applied.</a:t>
          </a:r>
        </a:p>
        <a:p>
          <a:r>
            <a:rPr lang="en-GB" sz="1800" b="1"/>
            <a:t>Current Status</a:t>
          </a:r>
          <a:r>
            <a:rPr lang="en-GB" sz="1800"/>
            <a:t> – Status of the mitigation effort.</a:t>
          </a:r>
        </a:p>
        <a:p>
          <a:r>
            <a:rPr lang="en-GB" sz="1800" b="1"/>
            <a:t>Review Date</a:t>
          </a:r>
          <a:r>
            <a:rPr lang="en-GB" sz="1800"/>
            <a:t> – Date for reassessment of risk.</a:t>
          </a:r>
        </a:p>
        <a:p>
          <a:r>
            <a:rPr lang="en-GB" sz="1800" b="1"/>
            <a:t>9. Statement of Applicability</a:t>
          </a:r>
        </a:p>
        <a:p>
          <a:r>
            <a:rPr lang="en-GB" sz="1800"/>
            <a:t>Maps ISO 27001 Annex A controls to business requirements and risk decisions.</a:t>
          </a:r>
        </a:p>
        <a:p>
          <a:r>
            <a:rPr lang="en-GB" sz="1800" b="1"/>
            <a:t>Columns:</a:t>
          </a:r>
          <a:endParaRPr lang="en-GB" sz="1800"/>
        </a:p>
        <a:p>
          <a:r>
            <a:rPr lang="en-GB" sz="1800" b="1"/>
            <a:t>Control ID</a:t>
          </a:r>
          <a:r>
            <a:rPr lang="en-GB" sz="1800"/>
            <a:t> – Unique identifier for the ISO 27001 control.</a:t>
          </a:r>
        </a:p>
        <a:p>
          <a:r>
            <a:rPr lang="en-GB" sz="1800" b="1"/>
            <a:t>Control Name</a:t>
          </a:r>
          <a:r>
            <a:rPr lang="en-GB" sz="1800"/>
            <a:t> – Description of the security control.</a:t>
          </a:r>
        </a:p>
        <a:p>
          <a:r>
            <a:rPr lang="en-GB" sz="1800" b="1"/>
            <a:t>Annex A Reference</a:t>
          </a:r>
          <a:r>
            <a:rPr lang="en-GB" sz="1800"/>
            <a:t> – Corresponding reference to ISO 27001 Annex A.</a:t>
          </a:r>
        </a:p>
        <a:p>
          <a:r>
            <a:rPr lang="en-GB" sz="1800" b="1"/>
            <a:t>Applicability</a:t>
          </a:r>
          <a:r>
            <a:rPr lang="en-GB" sz="1800"/>
            <a:t> – Whether the control is applicable to the organization (e.g., Applicable, Not Applicable).</a:t>
          </a:r>
        </a:p>
        <a:p>
          <a:r>
            <a:rPr lang="en-GB" sz="1800" b="1"/>
            <a:t>Justification</a:t>
          </a:r>
          <a:r>
            <a:rPr lang="en-GB" sz="1800"/>
            <a:t> – Reasoning behind the applicability decision.</a:t>
          </a:r>
        </a:p>
        <a:p>
          <a:r>
            <a:rPr lang="en-GB" sz="1800" b="1"/>
            <a:t>Implementation Status</a:t>
          </a:r>
          <a:r>
            <a:rPr lang="en-GB" sz="1800"/>
            <a:t> – Status of implementation (e.g., Implemented, Partially Implemented, Not Implemented).</a:t>
          </a:r>
        </a:p>
        <a:p>
          <a:r>
            <a:rPr lang="en-GB" sz="1800" b="1"/>
            <a:t>Responsible Party</a:t>
          </a:r>
          <a:r>
            <a:rPr lang="en-GB" sz="1800"/>
            <a:t> – Person or team responsible for the control.</a:t>
          </a:r>
        </a:p>
        <a:p>
          <a:r>
            <a:rPr lang="en-GB" sz="1800" b="1"/>
            <a:t>Review Date</a:t>
          </a:r>
          <a:r>
            <a:rPr lang="en-GB" sz="1800"/>
            <a:t> – Last review date of the control's implementation.</a:t>
          </a:r>
        </a:p>
        <a:p>
          <a:r>
            <a:rPr lang="en-GB" sz="1800" b="1"/>
            <a:t>Evidence of Implementation</a:t>
          </a:r>
          <a:r>
            <a:rPr lang="en-GB" sz="1800"/>
            <a:t> – Documentation or proof that the control is in place.</a:t>
          </a:r>
        </a:p>
        <a:p>
          <a:r>
            <a:rPr lang="en-GB" sz="1800" b="1"/>
            <a:t>Comments</a:t>
          </a:r>
          <a:r>
            <a:rPr lang="en-GB" sz="1800"/>
            <a:t> – Additional notes or observations regarding the control.</a:t>
          </a:r>
        </a:p>
        <a:p>
          <a:r>
            <a:rPr lang="en-GB" sz="1800"/>
            <a:t>Maps ISO 27001 Annex A controls to business requirements and risk decisions.</a:t>
          </a:r>
        </a:p>
        <a:p>
          <a:r>
            <a:rPr lang="en-GB" sz="1800" b="1"/>
            <a:t>10. ISMS Action Tracker</a:t>
          </a:r>
        </a:p>
        <a:p>
          <a:r>
            <a:rPr lang="en-GB" sz="1800"/>
            <a:t>Monitors and follows up on actions related to maintaining and improving the Information Security Management System (ISMS).</a:t>
          </a:r>
        </a:p>
        <a:p>
          <a:r>
            <a:rPr lang="en-GB" sz="1800" b="1"/>
            <a:t>Columns:</a:t>
          </a:r>
          <a:endParaRPr lang="en-GB" sz="1800"/>
        </a:p>
        <a:p>
          <a:r>
            <a:rPr lang="en-GB" sz="1800" b="1"/>
            <a:t>Action ID</a:t>
          </a:r>
          <a:r>
            <a:rPr lang="en-GB" sz="1800"/>
            <a:t> – Unique identifier for the action item.</a:t>
          </a:r>
        </a:p>
        <a:p>
          <a:r>
            <a:rPr lang="en-GB" sz="1800" b="1"/>
            <a:t>Description</a:t>
          </a:r>
          <a:r>
            <a:rPr lang="en-GB" sz="1800"/>
            <a:t> – Summary of the action.</a:t>
          </a:r>
        </a:p>
        <a:p>
          <a:r>
            <a:rPr lang="en-GB" sz="1800" b="1"/>
            <a:t>Related Risk or Audit Finding</a:t>
          </a:r>
          <a:r>
            <a:rPr lang="en-GB" sz="1800"/>
            <a:t> – Link to associated risk or audit observation.</a:t>
          </a:r>
        </a:p>
        <a:p>
          <a:r>
            <a:rPr lang="en-GB" sz="1800" b="1"/>
            <a:t>Owner</a:t>
          </a:r>
          <a:r>
            <a:rPr lang="en-GB" sz="1800"/>
            <a:t> – Person responsible for completing the action.</a:t>
          </a:r>
        </a:p>
        <a:p>
          <a:r>
            <a:rPr lang="en-GB" sz="1800" b="1"/>
            <a:t>Target Date</a:t>
          </a:r>
          <a:r>
            <a:rPr lang="en-GB" sz="1800"/>
            <a:t> – Deadline for completion.</a:t>
          </a:r>
        </a:p>
        <a:p>
          <a:r>
            <a:rPr lang="en-GB" sz="1800" b="1"/>
            <a:t>Current Status</a:t>
          </a:r>
          <a:r>
            <a:rPr lang="en-GB" sz="1800"/>
            <a:t> – Progress tracking (e.g., Open, In Progress, Completed).</a:t>
          </a:r>
        </a:p>
        <a:p>
          <a:r>
            <a:rPr lang="en-GB" sz="1800" b="1"/>
            <a:t>Follow-up Notes</a:t>
          </a:r>
          <a:r>
            <a:rPr lang="en-GB" sz="1800"/>
            <a:t> – Additional notes on progress and next steps.</a:t>
          </a:r>
        </a:p>
        <a:p>
          <a:r>
            <a:rPr lang="en-GB" sz="1800"/>
            <a:t>Monitors and follows up on actions related to maintaining and improving the Information Security Management System (ISMS).</a:t>
          </a:r>
        </a:p>
        <a:p>
          <a:r>
            <a:rPr lang="en-GB" sz="1800" b="1"/>
            <a:t>11. BIA (Business Impact Analysis)</a:t>
          </a:r>
        </a:p>
        <a:p>
          <a:r>
            <a:rPr lang="en-GB" sz="1800"/>
            <a:t>Evaluates the potential impact of a disruption on critical business functions and assets.</a:t>
          </a:r>
        </a:p>
        <a:p>
          <a:r>
            <a:rPr lang="en-GB" sz="1800" b="1"/>
            <a:t>12. Incident Log</a:t>
          </a:r>
        </a:p>
        <a:p>
          <a:r>
            <a:rPr lang="en-GB" sz="1800"/>
            <a:t>Tracks reported security incidents, responses, impact assessment, and resolution timelines.</a:t>
          </a:r>
        </a:p>
        <a:p>
          <a:r>
            <a:rPr lang="en-GB" sz="1800" b="1"/>
            <a:t>Columns:</a:t>
          </a:r>
          <a:endParaRPr lang="en-GB" sz="1800"/>
        </a:p>
        <a:p>
          <a:r>
            <a:rPr lang="en-GB" sz="1800" b="1"/>
            <a:t>Incident ID</a:t>
          </a:r>
          <a:r>
            <a:rPr lang="en-GB" sz="1800"/>
            <a:t> – Unique identifier for the incident.</a:t>
          </a:r>
        </a:p>
        <a:p>
          <a:r>
            <a:rPr lang="en-GB" sz="1800" b="1"/>
            <a:t>Date/Time</a:t>
          </a:r>
          <a:r>
            <a:rPr lang="en-GB" sz="1800"/>
            <a:t> – Timestamp of when the incident occurred.</a:t>
          </a:r>
        </a:p>
        <a:p>
          <a:r>
            <a:rPr lang="en-GB" sz="1800" b="1"/>
            <a:t>Affected Assets</a:t>
          </a:r>
          <a:r>
            <a:rPr lang="en-GB" sz="1800"/>
            <a:t> – Systems or processes impacted by the incident.</a:t>
          </a:r>
        </a:p>
        <a:p>
          <a:r>
            <a:rPr lang="en-GB" sz="1800" b="1"/>
            <a:t>Incident Description</a:t>
          </a:r>
          <a:r>
            <a:rPr lang="en-GB" sz="1800"/>
            <a:t> – Summary of what occurred and potential causes.</a:t>
          </a:r>
        </a:p>
        <a:p>
          <a:r>
            <a:rPr lang="en-GB" sz="1800" b="1"/>
            <a:t>Impact Assessment</a:t>
          </a:r>
          <a:r>
            <a:rPr lang="en-GB" sz="1800"/>
            <a:t> – Evaluation of severity and scope of impact.</a:t>
          </a:r>
        </a:p>
        <a:p>
          <a:r>
            <a:rPr lang="en-GB" sz="1800" b="1"/>
            <a:t>Response Actions</a:t>
          </a:r>
          <a:r>
            <a:rPr lang="en-GB" sz="1800"/>
            <a:t> – Steps taken to address and mitigate the incident.</a:t>
          </a:r>
        </a:p>
        <a:p>
          <a:r>
            <a:rPr lang="en-GB" sz="1800" b="1"/>
            <a:t>Responsible Party</a:t>
          </a:r>
          <a:r>
            <a:rPr lang="en-GB" sz="1800"/>
            <a:t> – Individual or team managing the response.</a:t>
          </a:r>
        </a:p>
        <a:p>
          <a:r>
            <a:rPr lang="en-GB" sz="1800" b="1"/>
            <a:t>Resolution Date</a:t>
          </a:r>
          <a:r>
            <a:rPr lang="en-GB" sz="1800"/>
            <a:t> – Date when the incident was resolved.</a:t>
          </a:r>
        </a:p>
        <a:p>
          <a:r>
            <a:rPr lang="en-GB" sz="1800" b="1"/>
            <a:t>Lessons Learned</a:t>
          </a:r>
          <a:r>
            <a:rPr lang="en-GB" sz="1800"/>
            <a:t> – Insights gained to prevent recurrence.</a:t>
          </a:r>
        </a:p>
        <a:p>
          <a:r>
            <a:rPr lang="en-GB" sz="1800" b="1"/>
            <a:t>13. Audit Log</a:t>
          </a:r>
        </a:p>
        <a:p>
          <a:r>
            <a:rPr lang="en-GB" sz="1800"/>
            <a:t>Maintains records of internal and external ISO 27001 audits, findings, and corrective actions.</a:t>
          </a:r>
        </a:p>
        <a:p>
          <a:r>
            <a:rPr lang="en-GB" sz="1800" b="1"/>
            <a:t>Columns:</a:t>
          </a:r>
          <a:endParaRPr lang="en-GB" sz="1800"/>
        </a:p>
        <a:p>
          <a:r>
            <a:rPr lang="en-GB" sz="1800" b="1"/>
            <a:t>Audit ID</a:t>
          </a:r>
          <a:r>
            <a:rPr lang="en-GB" sz="1800"/>
            <a:t> – Unique identifier for the audit.</a:t>
          </a:r>
        </a:p>
        <a:p>
          <a:r>
            <a:rPr lang="en-GB" sz="1800" b="1"/>
            <a:t>Date</a:t>
          </a:r>
          <a:r>
            <a:rPr lang="en-GB" sz="1800"/>
            <a:t> – When the audit was conducted.</a:t>
          </a:r>
        </a:p>
        <a:p>
          <a:r>
            <a:rPr lang="en-GB" sz="1800" b="1"/>
            <a:t>Scope</a:t>
          </a:r>
          <a:r>
            <a:rPr lang="en-GB" sz="1800"/>
            <a:t> – Areas covered in the audit.</a:t>
          </a:r>
        </a:p>
        <a:p>
          <a:r>
            <a:rPr lang="en-GB" sz="1800" b="1"/>
            <a:t>Auditor(s)</a:t>
          </a:r>
          <a:r>
            <a:rPr lang="en-GB" sz="1800"/>
            <a:t> – People conducting the audit.</a:t>
          </a:r>
        </a:p>
        <a:p>
          <a:r>
            <a:rPr lang="en-GB" sz="1800" b="1"/>
            <a:t>Findings</a:t>
          </a:r>
          <a:r>
            <a:rPr lang="en-GB" sz="1800"/>
            <a:t> – Observations noted during the audit.</a:t>
          </a:r>
        </a:p>
        <a:p>
          <a:r>
            <a:rPr lang="en-GB" sz="1800" b="1"/>
            <a:t>Non-Conformities Identified</a:t>
          </a:r>
          <a:r>
            <a:rPr lang="en-GB" sz="1800"/>
            <a:t> – Any compliance gaps detected.</a:t>
          </a:r>
        </a:p>
        <a:p>
          <a:r>
            <a:rPr lang="en-GB" sz="1800" b="1"/>
            <a:t>Corrective Actions</a:t>
          </a:r>
          <a:r>
            <a:rPr lang="en-GB" sz="1800"/>
            <a:t> – Measures taken to address audit findings.</a:t>
          </a:r>
        </a:p>
        <a:p>
          <a:r>
            <a:rPr lang="en-GB" sz="1800" b="1"/>
            <a:t>Responsible Party</a:t>
          </a:r>
          <a:r>
            <a:rPr lang="en-GB" sz="1800"/>
            <a:t> – Person or team accountable for remediation.</a:t>
          </a:r>
        </a:p>
        <a:p>
          <a:r>
            <a:rPr lang="en-GB" sz="1800" b="1"/>
            <a:t>Status</a:t>
          </a:r>
          <a:r>
            <a:rPr lang="en-GB" sz="1800"/>
            <a:t> – Progress of corrective actions (e.g., Open, In Progress, Closed).</a:t>
          </a:r>
        </a:p>
        <a:p>
          <a:r>
            <a:rPr lang="en-GB" sz="1800" b="1"/>
            <a:t>Follow-up Date</a:t>
          </a:r>
          <a:r>
            <a:rPr lang="en-GB" sz="1800"/>
            <a:t> – Scheduled date for re-evaluation.</a:t>
          </a:r>
        </a:p>
        <a:p>
          <a:r>
            <a:rPr lang="en-GB" sz="1800" b="1"/>
            <a:t>14. Training and Awareness Record</a:t>
          </a:r>
        </a:p>
        <a:p>
          <a:r>
            <a:rPr lang="en-GB" sz="1800"/>
            <a:t>Logs completed security training, awareness sessions, and compliance acknowledgments.</a:t>
          </a:r>
        </a:p>
        <a:p>
          <a:r>
            <a:rPr lang="en-GB" sz="1800" b="1"/>
            <a:t>Columns:</a:t>
          </a:r>
          <a:endParaRPr lang="en-GB" sz="1800"/>
        </a:p>
        <a:p>
          <a:r>
            <a:rPr lang="en-GB" sz="1800" b="1"/>
            <a:t>Training ID</a:t>
          </a:r>
          <a:r>
            <a:rPr lang="en-GB" sz="1800"/>
            <a:t> – Unique identifier for the training session.</a:t>
          </a:r>
        </a:p>
        <a:p>
          <a:r>
            <a:rPr lang="en-GB" sz="1800" b="1"/>
            <a:t>Training Title</a:t>
          </a:r>
          <a:r>
            <a:rPr lang="en-GB" sz="1800"/>
            <a:t> – Name or topic of the training.</a:t>
          </a:r>
        </a:p>
        <a:p>
          <a:r>
            <a:rPr lang="en-GB" sz="1800" b="1"/>
            <a:t>Date</a:t>
          </a:r>
          <a:r>
            <a:rPr lang="en-GB" sz="1800"/>
            <a:t> – Date the training was conducted.</a:t>
          </a:r>
        </a:p>
        <a:p>
          <a:r>
            <a:rPr lang="en-GB" sz="1800" b="1"/>
            <a:t>Trainer</a:t>
          </a:r>
          <a:r>
            <a:rPr lang="en-GB" sz="1800"/>
            <a:t> – Name of the person or entity conducting the training.</a:t>
          </a:r>
        </a:p>
        <a:p>
          <a:r>
            <a:rPr lang="en-GB" sz="1800" b="1"/>
            <a:t>Participants</a:t>
          </a:r>
          <a:r>
            <a:rPr lang="en-GB" sz="1800"/>
            <a:t> – List of employees or stakeholders who attended.</a:t>
          </a:r>
        </a:p>
        <a:p>
          <a:r>
            <a:rPr lang="en-GB" sz="1800" b="1"/>
            <a:t>Completion Status</a:t>
          </a:r>
          <a:r>
            <a:rPr lang="en-GB" sz="1800"/>
            <a:t> – Whether the training was completed.</a:t>
          </a:r>
        </a:p>
        <a:p>
          <a:r>
            <a:rPr lang="en-GB" sz="1800" b="1"/>
            <a:t>Evaluation Results</a:t>
          </a:r>
          <a:r>
            <a:rPr lang="en-GB" sz="1800"/>
            <a:t> – Scores or feedback from attendees.</a:t>
          </a:r>
        </a:p>
        <a:p>
          <a:r>
            <a:rPr lang="en-GB" sz="1800" b="1"/>
            <a:t>Next Training Date</a:t>
          </a:r>
          <a:r>
            <a:rPr lang="en-GB" sz="1800"/>
            <a:t> – Scheduled date for the next session.</a:t>
          </a:r>
        </a:p>
        <a:p>
          <a:r>
            <a:rPr lang="en-GB" sz="1800" b="1"/>
            <a:t>Proof of Completion</a:t>
          </a:r>
          <a:r>
            <a:rPr lang="en-GB" sz="1800"/>
            <a:t> – Link or reference to certification or acknowledgment records.</a:t>
          </a:r>
        </a:p>
        <a:p>
          <a:r>
            <a:rPr lang="en-GB" sz="1800" b="1"/>
            <a:t>15. Management Review Log</a:t>
          </a:r>
        </a:p>
        <a:p>
          <a:r>
            <a:rPr lang="en-GB" sz="1800"/>
            <a:t>Documents periodic ISMS management review meetings, discussions, and improvement actions.</a:t>
          </a:r>
        </a:p>
        <a:p>
          <a:r>
            <a:rPr lang="en-GB" sz="1800" b="1"/>
            <a:t>Columns:</a:t>
          </a:r>
          <a:endParaRPr lang="en-GB" sz="1800"/>
        </a:p>
        <a:p>
          <a:r>
            <a:rPr lang="en-GB" sz="1800" b="1"/>
            <a:t>Meeting ID</a:t>
          </a:r>
          <a:r>
            <a:rPr lang="en-GB" sz="1800"/>
            <a:t> – Unique identifier for the review meeting.</a:t>
          </a:r>
        </a:p>
        <a:p>
          <a:r>
            <a:rPr lang="en-GB" sz="1800" b="1"/>
            <a:t>Date</a:t>
          </a:r>
          <a:r>
            <a:rPr lang="en-GB" sz="1800"/>
            <a:t> – Date the meeting was held.</a:t>
          </a:r>
        </a:p>
        <a:p>
          <a:r>
            <a:rPr lang="en-GB" sz="1800" b="1"/>
            <a:t>Attendees</a:t>
          </a:r>
          <a:r>
            <a:rPr lang="en-GB" sz="1800"/>
            <a:t> – List of participants in the meeting.</a:t>
          </a:r>
        </a:p>
        <a:p>
          <a:r>
            <a:rPr lang="en-GB" sz="1800" b="1"/>
            <a:t>Topics Discussed</a:t>
          </a:r>
          <a:r>
            <a:rPr lang="en-GB" sz="1800"/>
            <a:t> – Summary of discussion points.</a:t>
          </a:r>
        </a:p>
        <a:p>
          <a:r>
            <a:rPr lang="en-GB" sz="1800" b="1"/>
            <a:t>Decisions Made</a:t>
          </a:r>
          <a:r>
            <a:rPr lang="en-GB" sz="1800"/>
            <a:t> – Key decisions reached during the meeting.</a:t>
          </a:r>
        </a:p>
        <a:p>
          <a:r>
            <a:rPr lang="en-GB" sz="1800" b="1"/>
            <a:t>Action Items</a:t>
          </a:r>
          <a:r>
            <a:rPr lang="en-GB" sz="1800"/>
            <a:t> – Tasks assigned to individuals for follow-up.</a:t>
          </a:r>
        </a:p>
        <a:p>
          <a:r>
            <a:rPr lang="en-GB" sz="1800" b="1"/>
            <a:t>Owner</a:t>
          </a:r>
          <a:r>
            <a:rPr lang="en-GB" sz="1800"/>
            <a:t> – Person responsible for executing assigned actions.</a:t>
          </a:r>
        </a:p>
        <a:p>
          <a:r>
            <a:rPr lang="en-GB" sz="1800" b="1"/>
            <a:t>Follow-up Date</a:t>
          </a:r>
          <a:r>
            <a:rPr lang="en-GB" sz="1800"/>
            <a:t> – Scheduled date for reviewing progress on action items.</a:t>
          </a:r>
        </a:p>
        <a:p>
          <a:r>
            <a:rPr lang="en-GB" sz="1800" b="1"/>
            <a:t>Status</a:t>
          </a:r>
          <a:r>
            <a:rPr lang="en-GB" sz="1800"/>
            <a:t> – Current status of action items (e.g., Open, In Progress, Completed).</a:t>
          </a:r>
        </a:p>
        <a:p>
          <a:r>
            <a:rPr lang="en-GB" sz="1800" b="1"/>
            <a:t>Comments</a:t>
          </a:r>
          <a:r>
            <a:rPr lang="en-GB" sz="1800"/>
            <a:t> – Additional notes or observations.</a:t>
          </a:r>
        </a:p>
        <a:p>
          <a:r>
            <a:rPr lang="en-GB" sz="1800" b="1"/>
            <a:t>16. Change Management Log</a:t>
          </a:r>
        </a:p>
        <a:p>
          <a:r>
            <a:rPr lang="en-GB" sz="1800"/>
            <a:t>Records changes to security controls, policies, or IT systems and their risk assessments.</a:t>
          </a:r>
        </a:p>
        <a:p>
          <a:r>
            <a:rPr lang="en-GB" sz="1800" b="1"/>
            <a:t>Columns:</a:t>
          </a:r>
          <a:endParaRPr lang="en-GB" sz="1800"/>
        </a:p>
        <a:p>
          <a:r>
            <a:rPr lang="en-GB" sz="1800" b="1"/>
            <a:t>Change ID</a:t>
          </a:r>
          <a:r>
            <a:rPr lang="en-GB" sz="1800"/>
            <a:t> – Unique identifier for the change.</a:t>
          </a:r>
        </a:p>
        <a:p>
          <a:r>
            <a:rPr lang="en-GB" sz="1800" b="1"/>
            <a:t>Requestor</a:t>
          </a:r>
          <a:r>
            <a:rPr lang="en-GB" sz="1800"/>
            <a:t> – Individual or team requesting the change.</a:t>
          </a:r>
        </a:p>
        <a:p>
          <a:r>
            <a:rPr lang="en-GB" sz="1800" b="1"/>
            <a:t>Change Description</a:t>
          </a:r>
          <a:r>
            <a:rPr lang="en-GB" sz="1800"/>
            <a:t> – Summary of the proposed change.</a:t>
          </a:r>
        </a:p>
        <a:p>
          <a:r>
            <a:rPr lang="en-GB" sz="1800" b="1"/>
            <a:t>Justification</a:t>
          </a:r>
          <a:r>
            <a:rPr lang="en-GB" sz="1800"/>
            <a:t> – Reason for the change, including security or compliance drivers.</a:t>
          </a:r>
        </a:p>
        <a:p>
          <a:r>
            <a:rPr lang="en-GB" sz="1800" b="1"/>
            <a:t>Risk Assessment</a:t>
          </a:r>
          <a:r>
            <a:rPr lang="en-GB" sz="1800"/>
            <a:t> – Evaluation of potential risks associated with the change.</a:t>
          </a:r>
        </a:p>
        <a:p>
          <a:r>
            <a:rPr lang="en-GB" sz="1800" b="1"/>
            <a:t>Approval Status</a:t>
          </a:r>
          <a:r>
            <a:rPr lang="en-GB" sz="1800"/>
            <a:t> – Whether the change has been approved or is pending review.</a:t>
          </a:r>
        </a:p>
        <a:p>
          <a:r>
            <a:rPr lang="en-GB" sz="1800" b="1"/>
            <a:t>Implementation Date</a:t>
          </a:r>
          <a:r>
            <a:rPr lang="en-GB" sz="1800"/>
            <a:t> – Date the change was implemented.</a:t>
          </a:r>
        </a:p>
        <a:p>
          <a:r>
            <a:rPr lang="en-GB" sz="1800" b="1"/>
            <a:t>Rollback Plan</a:t>
          </a:r>
          <a:r>
            <a:rPr lang="en-GB" sz="1800"/>
            <a:t> – Contingency measures in case of failure.</a:t>
          </a:r>
        </a:p>
        <a:p>
          <a:r>
            <a:rPr lang="en-GB" sz="1800" b="1"/>
            <a:t>Testing and Validation</a:t>
          </a:r>
          <a:r>
            <a:rPr lang="en-GB" sz="1800"/>
            <a:t> – Steps taken to test the change before and after implementation.</a:t>
          </a:r>
        </a:p>
        <a:p>
          <a:r>
            <a:rPr lang="en-GB" sz="1800" b="1"/>
            <a:t>Owner</a:t>
          </a:r>
          <a:r>
            <a:rPr lang="en-GB" sz="1800"/>
            <a:t> – Person responsible for executing and monitoring the change.</a:t>
          </a:r>
        </a:p>
        <a:p>
          <a:r>
            <a:rPr lang="en-GB" sz="1800" b="1"/>
            <a:t>Review Date</a:t>
          </a:r>
          <a:r>
            <a:rPr lang="en-GB" sz="1800"/>
            <a:t> – Scheduled date to assess the effectiveness of the change.</a:t>
          </a:r>
        </a:p>
        <a:p>
          <a:r>
            <a:rPr lang="en-GB" sz="1800" b="1"/>
            <a:t>Comments</a:t>
          </a:r>
          <a:r>
            <a:rPr lang="en-GB" sz="1800"/>
            <a:t> – Additional observations or follow-up notes.</a:t>
          </a:r>
        </a:p>
        <a:p>
          <a:r>
            <a:rPr lang="en-GB" sz="1800" b="1"/>
            <a:t>17. Document Control Registry</a:t>
          </a:r>
        </a:p>
        <a:p>
          <a:r>
            <a:rPr lang="en-GB" sz="1800"/>
            <a:t>Tracks changes, version control, and approval status of security documentation.</a:t>
          </a:r>
        </a:p>
        <a:p>
          <a:r>
            <a:rPr lang="en-GB" sz="1800" b="1"/>
            <a:t>Columns:</a:t>
          </a:r>
          <a:endParaRPr lang="en-GB" sz="1800"/>
        </a:p>
        <a:p>
          <a:r>
            <a:rPr lang="en-GB" sz="1800" b="1"/>
            <a:t>Document ID</a:t>
          </a:r>
          <a:r>
            <a:rPr lang="en-GB" sz="1800"/>
            <a:t> – Unique identifier for the document.</a:t>
          </a:r>
        </a:p>
        <a:p>
          <a:r>
            <a:rPr lang="en-GB" sz="1800" b="1"/>
            <a:t>Document Name</a:t>
          </a:r>
          <a:r>
            <a:rPr lang="en-GB" sz="1800"/>
            <a:t> – Title of the document.</a:t>
          </a:r>
        </a:p>
        <a:p>
          <a:r>
            <a:rPr lang="en-GB" sz="1800" b="1"/>
            <a:t>Version Number</a:t>
          </a:r>
          <a:r>
            <a:rPr lang="en-GB" sz="1800"/>
            <a:t> – Current version of the document.</a:t>
          </a:r>
        </a:p>
        <a:p>
          <a:r>
            <a:rPr lang="en-GB" sz="1800" b="1"/>
            <a:t>Owner</a:t>
          </a:r>
          <a:r>
            <a:rPr lang="en-GB" sz="1800"/>
            <a:t> – Person or team responsible for the document.</a:t>
          </a:r>
        </a:p>
        <a:p>
          <a:r>
            <a:rPr lang="en-GB" sz="1800" b="1"/>
            <a:t>Approval Status</a:t>
          </a:r>
          <a:r>
            <a:rPr lang="en-GB" sz="1800"/>
            <a:t> – Indicates whether the document is Draft, Approved, or Under Review.</a:t>
          </a:r>
        </a:p>
        <a:p>
          <a:r>
            <a:rPr lang="en-GB" sz="1800" b="1"/>
            <a:t>Review Date</a:t>
          </a:r>
          <a:r>
            <a:rPr lang="en-GB" sz="1800"/>
            <a:t> – Scheduled date for the next document review.</a:t>
          </a:r>
        </a:p>
        <a:p>
          <a:r>
            <a:rPr lang="en-GB" sz="1800" b="1"/>
            <a:t>Last Updated</a:t>
          </a:r>
          <a:r>
            <a:rPr lang="en-GB" sz="1800"/>
            <a:t> – Date of the last modification.</a:t>
          </a:r>
        </a:p>
        <a:p>
          <a:r>
            <a:rPr lang="en-GB" sz="1800" b="1"/>
            <a:t>Change Description</a:t>
          </a:r>
          <a:r>
            <a:rPr lang="en-GB" sz="1800"/>
            <a:t> – Summary of what was changed in the document.</a:t>
          </a:r>
        </a:p>
        <a:p>
          <a:r>
            <a:rPr lang="en-GB" sz="1800" b="1"/>
            <a:t>Reviewer</a:t>
          </a:r>
          <a:r>
            <a:rPr lang="en-GB" sz="1800"/>
            <a:t> – Person or team who reviewed the document.</a:t>
          </a:r>
        </a:p>
        <a:p>
          <a:r>
            <a:rPr lang="en-GB" sz="1800" b="1"/>
            <a:t>Comments</a:t>
          </a:r>
          <a:r>
            <a:rPr lang="en-GB" sz="1800"/>
            <a:t> – Additional observations or feedback.</a:t>
          </a:r>
        </a:p>
        <a:p>
          <a:r>
            <a:rPr lang="en-GB" sz="1800" b="1"/>
            <a:t>18. Monitoring Log</a:t>
          </a:r>
        </a:p>
        <a:p>
          <a:r>
            <a:rPr lang="en-GB" sz="1800"/>
            <a:t>Records security monitoring activities, logs, and alerts to detect potential security threats and anomalies.</a:t>
          </a:r>
        </a:p>
        <a:p>
          <a:r>
            <a:rPr lang="en-GB" sz="1800" b="1"/>
            <a:t>Columns:</a:t>
          </a:r>
          <a:endParaRPr lang="en-GB" sz="1800"/>
        </a:p>
        <a:p>
          <a:r>
            <a:rPr lang="en-GB" sz="1800" b="1"/>
            <a:t>Log ID</a:t>
          </a:r>
          <a:r>
            <a:rPr lang="en-GB" sz="1800"/>
            <a:t> – Unique identifier for the monitoring entry.</a:t>
          </a:r>
        </a:p>
        <a:p>
          <a:r>
            <a:rPr lang="en-GB" sz="1800" b="1"/>
            <a:t>Date/Time</a:t>
          </a:r>
          <a:r>
            <a:rPr lang="en-GB" sz="1800"/>
            <a:t> – Timestamp of the logged security event.</a:t>
          </a:r>
        </a:p>
        <a:p>
          <a:r>
            <a:rPr lang="en-GB" sz="1800" b="1"/>
            <a:t>Source</a:t>
          </a:r>
          <a:r>
            <a:rPr lang="en-GB" sz="1800"/>
            <a:t> – System or application generating the log.</a:t>
          </a:r>
        </a:p>
        <a:p>
          <a:r>
            <a:rPr lang="en-GB" sz="1800" b="1"/>
            <a:t>Event Type</a:t>
          </a:r>
          <a:r>
            <a:rPr lang="en-GB" sz="1800"/>
            <a:t> – Description of the type of event being monitored (e.g., access attempt, system failure).</a:t>
          </a:r>
        </a:p>
        <a:p>
          <a:r>
            <a:rPr lang="en-GB" sz="1800" b="1"/>
            <a:t>Severity Level</a:t>
          </a:r>
          <a:r>
            <a:rPr lang="en-GB" sz="1800"/>
            <a:t> – Classification of the event's criticality (e.g., Low, Medium, High).</a:t>
          </a:r>
        </a:p>
        <a:p>
          <a:r>
            <a:rPr lang="en-GB" sz="1800" b="1"/>
            <a:t>Action Taken</a:t>
          </a:r>
          <a:r>
            <a:rPr lang="en-GB" sz="1800"/>
            <a:t> – Any response actions executed to mitigate issues.</a:t>
          </a:r>
        </a:p>
        <a:p>
          <a:r>
            <a:rPr lang="en-GB" sz="1800" b="1"/>
            <a:t>Responsible Party</a:t>
          </a:r>
          <a:r>
            <a:rPr lang="en-GB" sz="1800"/>
            <a:t> – Individual or team assigned to review and address the event.</a:t>
          </a:r>
        </a:p>
        <a:p>
          <a:r>
            <a:rPr lang="en-GB" sz="1800" b="1"/>
            <a:t>Resolution Status</a:t>
          </a:r>
          <a:r>
            <a:rPr lang="en-GB" sz="1800"/>
            <a:t> – Status of event resolution (e.g., Open, Investigating, Resolved).</a:t>
          </a:r>
        </a:p>
        <a:p>
          <a:r>
            <a:rPr lang="en-GB" sz="1800" b="1"/>
            <a:t>Notes</a:t>
          </a:r>
          <a:r>
            <a:rPr lang="en-GB" sz="1800"/>
            <a:t> – Additional observations or supporting details.</a:t>
          </a:r>
        </a:p>
        <a:p>
          <a:r>
            <a:rPr lang="en-GB" sz="1800" b="1"/>
            <a:t>19. Security Assessment Log</a:t>
          </a:r>
        </a:p>
        <a:p>
          <a:r>
            <a:rPr lang="en-GB" sz="1800"/>
            <a:t>Documents security assessments, penetration testing results, and remediation efforts to evaluate the effectiveness of security controls.</a:t>
          </a:r>
        </a:p>
        <a:p>
          <a:r>
            <a:rPr lang="en-GB" sz="1800" b="1"/>
            <a:t>Columns:</a:t>
          </a:r>
          <a:endParaRPr lang="en-GB" sz="1800"/>
        </a:p>
        <a:p>
          <a:r>
            <a:rPr lang="en-GB" sz="1800" b="1"/>
            <a:t>Assessment ID</a:t>
          </a:r>
          <a:r>
            <a:rPr lang="en-GB" sz="1800"/>
            <a:t> – Unique identifier for the security assessment.</a:t>
          </a:r>
        </a:p>
        <a:p>
          <a:r>
            <a:rPr lang="en-GB" sz="1800" b="1"/>
            <a:t>Date</a:t>
          </a:r>
          <a:r>
            <a:rPr lang="en-GB" sz="1800"/>
            <a:t> – Date the assessment was conducted.</a:t>
          </a:r>
        </a:p>
        <a:p>
          <a:r>
            <a:rPr lang="en-GB" sz="1800" b="1"/>
            <a:t>Scope</a:t>
          </a:r>
          <a:r>
            <a:rPr lang="en-GB" sz="1800"/>
            <a:t> – Areas, systems, or assets evaluated.</a:t>
          </a:r>
        </a:p>
        <a:p>
          <a:r>
            <a:rPr lang="en-GB" sz="1800" b="1"/>
            <a:t>Assessor(s)</a:t>
          </a:r>
          <a:r>
            <a:rPr lang="en-GB" sz="1800"/>
            <a:t> – Individual(s) or teams conducting the assessment.</a:t>
          </a:r>
        </a:p>
        <a:p>
          <a:r>
            <a:rPr lang="en-GB" sz="1800" b="1"/>
            <a:t>Findings</a:t>
          </a:r>
          <a:r>
            <a:rPr lang="en-GB" sz="1800"/>
            <a:t> – Summary of vulnerabilities, gaps, or security concerns.</a:t>
          </a:r>
        </a:p>
        <a:p>
          <a:r>
            <a:rPr lang="en-GB" sz="1800" b="1"/>
            <a:t>Risk Level</a:t>
          </a:r>
          <a:r>
            <a:rPr lang="en-GB" sz="1800"/>
            <a:t> – Severity rating of the identified security issues.</a:t>
          </a:r>
        </a:p>
        <a:p>
          <a:r>
            <a:rPr lang="en-GB" sz="1800" b="1"/>
            <a:t>Remediation Plan</a:t>
          </a:r>
          <a:r>
            <a:rPr lang="en-GB" sz="1800"/>
            <a:t> – Actions required to address the findings.</a:t>
          </a:r>
        </a:p>
        <a:p>
          <a:r>
            <a:rPr lang="en-GB" sz="1800" b="1"/>
            <a:t>Owner</a:t>
          </a:r>
          <a:r>
            <a:rPr lang="en-GB" sz="1800"/>
            <a:t> – Responsible person or team for implementing remediation measures.</a:t>
          </a:r>
        </a:p>
        <a:p>
          <a:r>
            <a:rPr lang="en-GB" sz="1800" b="1"/>
            <a:t>Follow-up Date</a:t>
          </a:r>
          <a:r>
            <a:rPr lang="en-GB" sz="1800"/>
            <a:t> – Scheduled reassessment to verify resolution.</a:t>
          </a:r>
        </a:p>
        <a:p>
          <a:r>
            <a:rPr lang="en-GB" sz="1800" b="1"/>
            <a:t>Status</a:t>
          </a:r>
          <a:r>
            <a:rPr lang="en-GB" sz="1800"/>
            <a:t> – Current progress of remediation efforts (e.g., Pending, In Progress, Completed).</a:t>
          </a:r>
        </a:p>
        <a:p>
          <a:r>
            <a:rPr lang="en-GB" sz="1800" b="1"/>
            <a:t>Notes</a:t>
          </a:r>
          <a:r>
            <a:rPr lang="en-GB" sz="1800"/>
            <a:t> – Additional observations or supporting details.</a:t>
          </a:r>
        </a:p>
        <a:p>
          <a:r>
            <a:rPr lang="en-GB" sz="1800"/>
            <a:t>Records security monitoring activities, logs, and alerts.</a:t>
          </a:r>
        </a:p>
        <a:p>
          <a:r>
            <a:rPr lang="en-GB" sz="1800" b="1"/>
            <a:t>20. User BYOD Compliance Log</a:t>
          </a:r>
        </a:p>
        <a:p>
          <a:r>
            <a:rPr lang="en-GB" sz="1800"/>
            <a:t>Tracks Bring Your Own Device (BYOD) security compliance and approvals.</a:t>
          </a:r>
        </a:p>
        <a:p>
          <a:r>
            <a:rPr lang="en-GB" sz="1800" b="1"/>
            <a:t>Columns:</a:t>
          </a:r>
          <a:endParaRPr lang="en-GB" sz="1800"/>
        </a:p>
        <a:p>
          <a:r>
            <a:rPr lang="en-GB" sz="1800" b="1"/>
            <a:t>User ID</a:t>
          </a:r>
          <a:r>
            <a:rPr lang="en-GB" sz="1800"/>
            <a:t> – Unique identifier for the user.</a:t>
          </a:r>
        </a:p>
        <a:p>
          <a:r>
            <a:rPr lang="en-GB" sz="1800" b="1"/>
            <a:t>User Name</a:t>
          </a:r>
          <a:r>
            <a:rPr lang="en-GB" sz="1800"/>
            <a:t> – Name of the employee using a BYOD device.</a:t>
          </a:r>
        </a:p>
        <a:p>
          <a:r>
            <a:rPr lang="en-GB" sz="1800" b="1"/>
            <a:t>Device Type</a:t>
          </a:r>
          <a:r>
            <a:rPr lang="en-GB" sz="1800"/>
            <a:t> – Type of personal device being used (e.g., Laptop, Mobile, Tablet).</a:t>
          </a:r>
        </a:p>
        <a:p>
          <a:r>
            <a:rPr lang="en-GB" sz="1800" b="1"/>
            <a:t>Operating System</a:t>
          </a:r>
          <a:r>
            <a:rPr lang="en-GB" sz="1800"/>
            <a:t> – OS and version running on the device.</a:t>
          </a:r>
        </a:p>
        <a:p>
          <a:r>
            <a:rPr lang="en-GB" sz="1800" b="1"/>
            <a:t>Security Compliance Status</a:t>
          </a:r>
          <a:r>
            <a:rPr lang="en-GB" sz="1800"/>
            <a:t> – Indicates whether the device meets security requirements.</a:t>
          </a:r>
        </a:p>
        <a:p>
          <a:r>
            <a:rPr lang="en-GB" sz="1800" b="1"/>
            <a:t>Last Compliance Check</a:t>
          </a:r>
          <a:r>
            <a:rPr lang="en-GB" sz="1800"/>
            <a:t> – Date of the last compliance validation.</a:t>
          </a:r>
        </a:p>
        <a:p>
          <a:r>
            <a:rPr lang="en-GB" sz="1800" b="1"/>
            <a:t>Required Updates/Actions</a:t>
          </a:r>
          <a:r>
            <a:rPr lang="en-GB" sz="1800"/>
            <a:t> – Pending updates or security actions for compliance.</a:t>
          </a:r>
        </a:p>
        <a:p>
          <a:r>
            <a:rPr lang="en-GB" sz="1800" b="1"/>
            <a:t>Approval Status</a:t>
          </a:r>
          <a:r>
            <a:rPr lang="en-GB" sz="1800"/>
            <a:t> – Whether the device is approved for work use.</a:t>
          </a:r>
        </a:p>
        <a:p>
          <a:r>
            <a:rPr lang="en-GB" sz="1800" b="1"/>
            <a:t>Approval Date</a:t>
          </a:r>
          <a:r>
            <a:rPr lang="en-GB" sz="1800"/>
            <a:t> – Date the device was approved for access.</a:t>
          </a:r>
        </a:p>
        <a:p>
          <a:r>
            <a:rPr lang="en-GB" sz="1800" b="1"/>
            <a:t>Notes</a:t>
          </a:r>
          <a:r>
            <a:rPr lang="en-GB" sz="1800"/>
            <a:t> – Additional information or special considerations regarding device usage.</a:t>
          </a:r>
        </a:p>
        <a:p>
          <a:r>
            <a:rPr lang="en-GB" sz="1800"/>
            <a:t>Tracks Bring Your Own Device (BYOD) security compliance and approvals.</a:t>
          </a:r>
        </a:p>
        <a:p>
          <a:r>
            <a:rPr lang="en-GB" sz="1800" b="1"/>
            <a:t>21. Risk Communication Matrix</a:t>
          </a:r>
        </a:p>
        <a:p>
          <a:r>
            <a:rPr lang="en-GB" sz="1800"/>
            <a:t>Documents risk communication strategies and stakeholders involved.</a:t>
          </a:r>
        </a:p>
        <a:p>
          <a:r>
            <a:rPr lang="en-GB" sz="1800" b="1"/>
            <a:t>Columns:</a:t>
          </a:r>
          <a:endParaRPr lang="en-GB" sz="1800"/>
        </a:p>
        <a:p>
          <a:r>
            <a:rPr lang="en-GB" sz="1800" b="1"/>
            <a:t>Risk ID</a:t>
          </a:r>
          <a:r>
            <a:rPr lang="en-GB" sz="1800"/>
            <a:t> – Unique identifier for the risk being communicated.</a:t>
          </a:r>
        </a:p>
        <a:p>
          <a:r>
            <a:rPr lang="en-GB" sz="1800" b="1"/>
            <a:t>Risk Description</a:t>
          </a:r>
          <a:r>
            <a:rPr lang="en-GB" sz="1800"/>
            <a:t> – Summary of the risk and its potential impact.</a:t>
          </a:r>
        </a:p>
        <a:p>
          <a:r>
            <a:rPr lang="en-GB" sz="1800" b="1"/>
            <a:t>Audience</a:t>
          </a:r>
          <a:r>
            <a:rPr lang="en-GB" sz="1800"/>
            <a:t> – Stakeholders or teams receiving the risk communication.</a:t>
          </a:r>
        </a:p>
        <a:p>
          <a:r>
            <a:rPr lang="en-GB" sz="1800" b="1"/>
            <a:t>Communication Method</a:t>
          </a:r>
          <a:r>
            <a:rPr lang="en-GB" sz="1800"/>
            <a:t> – Method used to communicate risk (e.g., email, meeting, report).</a:t>
          </a:r>
        </a:p>
        <a:p>
          <a:r>
            <a:rPr lang="en-GB" sz="1800" b="1"/>
            <a:t>Frequency</a:t>
          </a:r>
          <a:r>
            <a:rPr lang="en-GB" sz="1800"/>
            <a:t> – How often the risk is communicated (e.g., weekly, monthly, ad hoc).</a:t>
          </a:r>
        </a:p>
        <a:p>
          <a:r>
            <a:rPr lang="en-GB" sz="1800" b="1"/>
            <a:t>Owner</a:t>
          </a:r>
          <a:r>
            <a:rPr lang="en-GB" sz="1800"/>
            <a:t> – Person or team responsible for communicating the risk.</a:t>
          </a:r>
        </a:p>
        <a:p>
          <a:r>
            <a:rPr lang="en-GB" sz="1800" b="1"/>
            <a:t>Status</a:t>
          </a:r>
          <a:r>
            <a:rPr lang="en-GB" sz="1800"/>
            <a:t> – Current status of the risk (e.g., Active, Mitigated, Closed).</a:t>
          </a:r>
        </a:p>
        <a:p>
          <a:r>
            <a:rPr lang="en-GB" sz="1800" b="1"/>
            <a:t>Follow-up Actions</a:t>
          </a:r>
          <a:r>
            <a:rPr lang="en-GB" sz="1800"/>
            <a:t> – Any required actions based on the communicated risk.</a:t>
          </a:r>
        </a:p>
        <a:p>
          <a:r>
            <a:rPr lang="en-GB" sz="1800" b="1"/>
            <a:t>Comments</a:t>
          </a:r>
          <a:r>
            <a:rPr lang="en-GB" sz="1800"/>
            <a:t> – Additional observations or feedback on the communication process.</a:t>
          </a:r>
        </a:p>
        <a:p>
          <a:r>
            <a:rPr lang="en-GB" sz="1800"/>
            <a:t>Documents risk communication strategies and stakeholders involved.</a:t>
          </a:r>
        </a:p>
        <a:p>
          <a:r>
            <a:rPr lang="en-GB" sz="1800" b="1"/>
            <a:t>22. Non-Conformity Action Tracker</a:t>
          </a:r>
        </a:p>
        <a:p>
          <a:r>
            <a:rPr lang="en-GB" sz="1800"/>
            <a:t>Logs identified non-conformities, corrective actions, and status tracking to ensure continuous improvement in compliance with ISO 27001.</a:t>
          </a:r>
        </a:p>
        <a:p>
          <a:r>
            <a:rPr lang="en-GB" sz="1800" b="1"/>
            <a:t>Columns:</a:t>
          </a:r>
          <a:endParaRPr lang="en-GB" sz="1800"/>
        </a:p>
        <a:p>
          <a:r>
            <a:rPr lang="en-GB" sz="1800" b="1"/>
            <a:t>Non-Conformity ID</a:t>
          </a:r>
          <a:r>
            <a:rPr lang="en-GB" sz="1800"/>
            <a:t> – Unique identifier for the non-conformance.</a:t>
          </a:r>
        </a:p>
        <a:p>
          <a:r>
            <a:rPr lang="en-GB" sz="1800" b="1"/>
            <a:t>Date Identified</a:t>
          </a:r>
          <a:r>
            <a:rPr lang="en-GB" sz="1800"/>
            <a:t> – Date when the non-conformity was recorded.</a:t>
          </a:r>
        </a:p>
        <a:p>
          <a:r>
            <a:rPr lang="en-GB" sz="1800" b="1"/>
            <a:t>Description</a:t>
          </a:r>
          <a:r>
            <a:rPr lang="en-GB" sz="1800"/>
            <a:t> – Summary of the issue identified.</a:t>
          </a:r>
        </a:p>
        <a:p>
          <a:r>
            <a:rPr lang="en-GB" sz="1800" b="1"/>
            <a:t>Root Cause</a:t>
          </a:r>
          <a:r>
            <a:rPr lang="en-GB" sz="1800"/>
            <a:t> – Analysis of the underlying cause of the non-conformity.</a:t>
          </a:r>
        </a:p>
        <a:p>
          <a:r>
            <a:rPr lang="en-GB" sz="1800" b="1"/>
            <a:t>Severity Level</a:t>
          </a:r>
          <a:r>
            <a:rPr lang="en-GB" sz="1800"/>
            <a:t> – Classification of the impact (e.g., Low, Medium, High).</a:t>
          </a:r>
        </a:p>
        <a:p>
          <a:r>
            <a:rPr lang="en-GB" sz="1800" b="1"/>
            <a:t>Corrective Action</a:t>
          </a:r>
          <a:r>
            <a:rPr lang="en-GB" sz="1800"/>
            <a:t> – Steps taken to address and resolve the issue.</a:t>
          </a:r>
        </a:p>
        <a:p>
          <a:r>
            <a:rPr lang="en-GB" sz="1800" b="1"/>
            <a:t>Responsible Party</a:t>
          </a:r>
          <a:r>
            <a:rPr lang="en-GB" sz="1800"/>
            <a:t> – Individual or team assigned to corrective actions.</a:t>
          </a:r>
        </a:p>
        <a:p>
          <a:r>
            <a:rPr lang="en-GB" sz="1800" b="1"/>
            <a:t>Target Completion Date</a:t>
          </a:r>
          <a:r>
            <a:rPr lang="en-GB" sz="1800"/>
            <a:t> – Expected date for resolving the non-conformity.</a:t>
          </a:r>
        </a:p>
        <a:p>
          <a:r>
            <a:rPr lang="en-GB" sz="1800" b="1"/>
            <a:t>Verification Status</a:t>
          </a:r>
          <a:r>
            <a:rPr lang="en-GB" sz="1800"/>
            <a:t> – Status of corrective action validation (e.g., Pending, Verified, Closed).</a:t>
          </a:r>
        </a:p>
        <a:p>
          <a:r>
            <a:rPr lang="en-GB" sz="1800" b="1"/>
            <a:t>Follow-up Date</a:t>
          </a:r>
          <a:r>
            <a:rPr lang="en-GB" sz="1800"/>
            <a:t> – Date for reassessment to ensure resolution.</a:t>
          </a:r>
        </a:p>
        <a:p>
          <a:r>
            <a:rPr lang="en-GB" sz="1800" b="1"/>
            <a:t>Comments</a:t>
          </a:r>
          <a:r>
            <a:rPr lang="en-GB" sz="1800"/>
            <a:t> – Additional observations or supporting notes.</a:t>
          </a:r>
        </a:p>
        <a:p>
          <a:r>
            <a:rPr lang="en-GB" sz="1800"/>
            <a:t>Logs identified non-conformities, corrective actions, and status tracking.</a:t>
          </a:r>
        </a:p>
        <a:p>
          <a:r>
            <a:rPr lang="en-GB" sz="1800" b="1"/>
            <a:t>23. Penetration Testing Security Assessment Log</a:t>
          </a:r>
        </a:p>
        <a:p>
          <a:r>
            <a:rPr lang="en-GB" sz="1800"/>
            <a:t>Tracks penetration tests, security evaluations, findings, and remediation steps.</a:t>
          </a:r>
        </a:p>
        <a:p>
          <a:r>
            <a:rPr lang="en-GB" sz="1800" b="1"/>
            <a:t>24. Third Party Vendor Risk</a:t>
          </a:r>
        </a:p>
        <a:p>
          <a:r>
            <a:rPr lang="en-GB" sz="1800"/>
            <a:t>Assesses and records the risks associated with third-party vendors and service providers to ensure security compliance.</a:t>
          </a:r>
        </a:p>
        <a:p>
          <a:r>
            <a:rPr lang="en-GB" sz="1800" b="1"/>
            <a:t>Columns:</a:t>
          </a:r>
          <a:endParaRPr lang="en-GB" sz="1800"/>
        </a:p>
        <a:p>
          <a:r>
            <a:rPr lang="en-GB" sz="1800" b="1"/>
            <a:t>Vendor Name</a:t>
          </a:r>
          <a:r>
            <a:rPr lang="en-GB" sz="1800"/>
            <a:t> – Name of the third-party vendor or service provider.</a:t>
          </a:r>
        </a:p>
        <a:p>
          <a:r>
            <a:rPr lang="en-GB" sz="1800" b="1"/>
            <a:t>Service Provided</a:t>
          </a:r>
          <a:r>
            <a:rPr lang="en-GB" sz="1800"/>
            <a:t> – Description of the services offered by the vendor.</a:t>
          </a:r>
        </a:p>
        <a:p>
          <a:r>
            <a:rPr lang="en-GB" sz="1800" b="1"/>
            <a:t>Data Access Level</a:t>
          </a:r>
          <a:r>
            <a:rPr lang="en-GB" sz="1800"/>
            <a:t> – Type of data accessed by the vendor (e.g., Confidential, Public, Restricted).</a:t>
          </a:r>
        </a:p>
        <a:p>
          <a:r>
            <a:rPr lang="en-GB" sz="1800" b="1"/>
            <a:t>Risk Rating</a:t>
          </a:r>
          <a:r>
            <a:rPr lang="en-GB" sz="1800"/>
            <a:t> – Assessment of the security risk posed by the vendor.</a:t>
          </a:r>
        </a:p>
        <a:p>
          <a:r>
            <a:rPr lang="en-GB" sz="1800" b="1"/>
            <a:t>Assessment Criteria</a:t>
          </a:r>
          <a:r>
            <a:rPr lang="en-GB" sz="1800"/>
            <a:t> – Key factors considered in the risk assessment (e.g., data handling, compliance, security controls).</a:t>
          </a:r>
        </a:p>
        <a:p>
          <a:r>
            <a:rPr lang="en-GB" sz="1800" b="1"/>
            <a:t>Mitigation Actions</a:t>
          </a:r>
          <a:r>
            <a:rPr lang="en-GB" sz="1800"/>
            <a:t> – Steps taken to reduce vendor-related security risks.</a:t>
          </a:r>
        </a:p>
        <a:p>
          <a:r>
            <a:rPr lang="en-GB" sz="1800" b="1"/>
            <a:t>Review Date</a:t>
          </a:r>
          <a:r>
            <a:rPr lang="en-GB" sz="1800"/>
            <a:t> – Scheduled date for reassessment of vendor risks.</a:t>
          </a:r>
        </a:p>
        <a:p>
          <a:r>
            <a:rPr lang="en-GB" sz="1800" b="1"/>
            <a:t>Contractual Considerations</a:t>
          </a:r>
          <a:r>
            <a:rPr lang="en-GB" sz="1800"/>
            <a:t> – Notes on security clauses in vendor contracts.</a:t>
          </a:r>
        </a:p>
        <a:p>
          <a:r>
            <a:rPr lang="en-GB" sz="1800" b="1"/>
            <a:t>Status</a:t>
          </a:r>
          <a:r>
            <a:rPr lang="en-GB" sz="1800"/>
            <a:t> – Current status of vendor risk assessment (e.g., Approved, Pending, Rejected).</a:t>
          </a:r>
        </a:p>
        <a:p>
          <a:r>
            <a:rPr lang="en-GB" sz="1800" b="1"/>
            <a:t>Comments</a:t>
          </a:r>
          <a:r>
            <a:rPr lang="en-GB" sz="1800"/>
            <a:t> – Additional notes on vendor security performance.</a:t>
          </a:r>
        </a:p>
        <a:p>
          <a:r>
            <a:rPr lang="en-GB" sz="1800"/>
            <a:t>Tracks penetration tests, security evaluations, findings, and remediation steps.</a:t>
          </a:r>
        </a:p>
        <a:p>
          <a:r>
            <a:rPr lang="en-GB" sz="1800" b="1"/>
            <a:t>24. Quarterly Security Review Log</a:t>
          </a:r>
        </a:p>
        <a:p>
          <a:r>
            <a:rPr lang="en-GB" sz="1800"/>
            <a:t>Records findings from quarterly security and risk reviews to assess the effectiveness of security controls and compliance efforts.</a:t>
          </a:r>
        </a:p>
        <a:p>
          <a:r>
            <a:rPr lang="en-GB" sz="1800" b="1"/>
            <a:t>Columns:</a:t>
          </a:r>
          <a:endParaRPr lang="en-GB" sz="1800"/>
        </a:p>
        <a:p>
          <a:r>
            <a:rPr lang="en-GB" sz="1800" b="1"/>
            <a:t>Review ID</a:t>
          </a:r>
          <a:r>
            <a:rPr lang="en-GB" sz="1800"/>
            <a:t> – Unique identifier for the quarterly review.</a:t>
          </a:r>
        </a:p>
        <a:p>
          <a:r>
            <a:rPr lang="en-GB" sz="1800" b="1"/>
            <a:t>Date</a:t>
          </a:r>
          <a:r>
            <a:rPr lang="en-GB" sz="1800"/>
            <a:t> – Date when the review was conducted.</a:t>
          </a:r>
        </a:p>
        <a:p>
          <a:r>
            <a:rPr lang="en-GB" sz="1800" b="1"/>
            <a:t>Reviewer(s)</a:t>
          </a:r>
          <a:r>
            <a:rPr lang="en-GB" sz="1800"/>
            <a:t> – Individuals or teams responsible for the review.</a:t>
          </a:r>
        </a:p>
        <a:p>
          <a:r>
            <a:rPr lang="en-GB" sz="1800" b="1"/>
            <a:t>Scope</a:t>
          </a:r>
          <a:r>
            <a:rPr lang="en-GB" sz="1800"/>
            <a:t> – Areas of security and risk assessed.</a:t>
          </a:r>
        </a:p>
        <a:p>
          <a:r>
            <a:rPr lang="en-GB" sz="1800" b="1"/>
            <a:t>Summary of Findings</a:t>
          </a:r>
          <a:r>
            <a:rPr lang="en-GB" sz="1800"/>
            <a:t> – Key observations and trends identified.</a:t>
          </a:r>
        </a:p>
        <a:p>
          <a:r>
            <a:rPr lang="en-GB" sz="1800" b="1"/>
            <a:t>High-Risk Issues</a:t>
          </a:r>
          <a:r>
            <a:rPr lang="en-GB" sz="1800"/>
            <a:t> – Any critical security vulnerabilities or risks discovered.</a:t>
          </a:r>
        </a:p>
        <a:p>
          <a:r>
            <a:rPr lang="en-GB" sz="1800" b="1"/>
            <a:t>Recommendations</a:t>
          </a:r>
          <a:r>
            <a:rPr lang="en-GB" sz="1800"/>
            <a:t> – Suggested actions to mitigate identified risks.</a:t>
          </a:r>
        </a:p>
        <a:p>
          <a:r>
            <a:rPr lang="en-GB" sz="1800" b="1"/>
            <a:t>Action Owner</a:t>
          </a:r>
          <a:r>
            <a:rPr lang="en-GB" sz="1800"/>
            <a:t> – Individual or team responsible for addressing the recommendations.</a:t>
          </a:r>
        </a:p>
        <a:p>
          <a:r>
            <a:rPr lang="en-GB" sz="1800" b="1"/>
            <a:t>Target Completion Date</a:t>
          </a:r>
          <a:r>
            <a:rPr lang="en-GB" sz="1800"/>
            <a:t> – Deadline for implementing corrective actions.</a:t>
          </a:r>
        </a:p>
        <a:p>
          <a:r>
            <a:rPr lang="en-GB" sz="1800" b="1"/>
            <a:t>Follow-up Required?</a:t>
          </a:r>
          <a:r>
            <a:rPr lang="en-GB" sz="1800"/>
            <a:t> – Whether additional reviews or reassessments are needed.</a:t>
          </a:r>
        </a:p>
        <a:p>
          <a:r>
            <a:rPr lang="en-GB" sz="1800" b="1"/>
            <a:t>Next Review Date</a:t>
          </a:r>
          <a:r>
            <a:rPr lang="en-GB" sz="1800"/>
            <a:t> – Scheduled date for the next quarterly security review.</a:t>
          </a:r>
        </a:p>
        <a:p>
          <a:r>
            <a:rPr lang="en-GB" sz="1800" b="1"/>
            <a:t>Notes</a:t>
          </a:r>
          <a:r>
            <a:rPr lang="en-GB" sz="1800"/>
            <a:t> – Additional comments or supporting details.</a:t>
          </a:r>
        </a:p>
        <a:p>
          <a:r>
            <a:rPr lang="en-GB" sz="1800"/>
            <a:t>Records findings from quarterly security and risk reviews.</a:t>
          </a:r>
        </a:p>
        <a:p>
          <a:r>
            <a:rPr lang="en-GB" sz="1800" b="1"/>
            <a:t>25. Competence Records</a:t>
          </a:r>
        </a:p>
        <a:p>
          <a:r>
            <a:rPr lang="en-GB" sz="1800"/>
            <a:t>Maintains staff competency evaluations, certifications, and training records to ensure personnel meet security and compliance requirements.</a:t>
          </a:r>
        </a:p>
        <a:p>
          <a:r>
            <a:rPr lang="en-GB" sz="1800" b="1"/>
            <a:t>Columns:</a:t>
          </a:r>
          <a:endParaRPr lang="en-GB" sz="1800"/>
        </a:p>
        <a:p>
          <a:r>
            <a:rPr lang="en-GB" sz="1800" b="1"/>
            <a:t>Employee ID</a:t>
          </a:r>
          <a:r>
            <a:rPr lang="en-GB" sz="1800"/>
            <a:t> – Unique identifier for the employee.</a:t>
          </a:r>
        </a:p>
        <a:p>
          <a:r>
            <a:rPr lang="en-GB" sz="1800" b="1"/>
            <a:t>Employee Name</a:t>
          </a:r>
          <a:r>
            <a:rPr lang="en-GB" sz="1800"/>
            <a:t> – Name of the individual being assessed.</a:t>
          </a:r>
        </a:p>
        <a:p>
          <a:r>
            <a:rPr lang="en-GB" sz="1800" b="1"/>
            <a:t>Role</a:t>
          </a:r>
          <a:r>
            <a:rPr lang="en-GB" sz="1800"/>
            <a:t> – Employee's job function.</a:t>
          </a:r>
        </a:p>
        <a:p>
          <a:r>
            <a:rPr lang="en-GB" sz="1800" b="1"/>
            <a:t>Competency Area</a:t>
          </a:r>
          <a:r>
            <a:rPr lang="en-GB" sz="1800"/>
            <a:t> – The specific skill or knowledge area being evaluated.</a:t>
          </a:r>
        </a:p>
        <a:p>
          <a:r>
            <a:rPr lang="en-GB" sz="1800" b="1"/>
            <a:t>Evaluation Date</a:t>
          </a:r>
          <a:r>
            <a:rPr lang="en-GB" sz="1800"/>
            <a:t> – Date of the competency assessment.</a:t>
          </a:r>
        </a:p>
        <a:p>
          <a:r>
            <a:rPr lang="en-GB" sz="1800" b="1"/>
            <a:t>Assessment Score</a:t>
          </a:r>
          <a:r>
            <a:rPr lang="en-GB" sz="1800"/>
            <a:t> – Rating or score assigned based on competency evaluation.</a:t>
          </a:r>
        </a:p>
        <a:p>
          <a:r>
            <a:rPr lang="en-GB" sz="1800" b="1"/>
            <a:t>Training Required</a:t>
          </a:r>
          <a:r>
            <a:rPr lang="en-GB" sz="1800"/>
            <a:t> – Indicates whether further training is needed.</a:t>
          </a:r>
        </a:p>
        <a:p>
          <a:r>
            <a:rPr lang="en-GB" sz="1800" b="1"/>
            <a:t>Certification Name</a:t>
          </a:r>
          <a:r>
            <a:rPr lang="en-GB" sz="1800"/>
            <a:t> – Relevant certification(s) held by the employee.</a:t>
          </a:r>
        </a:p>
        <a:p>
          <a:r>
            <a:rPr lang="en-GB" sz="1800" b="1"/>
            <a:t>Certification Expiry Date</a:t>
          </a:r>
          <a:r>
            <a:rPr lang="en-GB" sz="1800"/>
            <a:t> – Expiration date of relevant certifications.</a:t>
          </a:r>
        </a:p>
        <a:p>
          <a:r>
            <a:rPr lang="en-GB" sz="1800" b="1"/>
            <a:t>Next Review Date</a:t>
          </a:r>
          <a:r>
            <a:rPr lang="en-GB" sz="1800"/>
            <a:t> – Scheduled date for re-evaluation.</a:t>
          </a:r>
        </a:p>
        <a:p>
          <a:r>
            <a:rPr lang="en-GB" sz="1800" b="1"/>
            <a:t>Comments</a:t>
          </a:r>
          <a:r>
            <a:rPr lang="en-GB" sz="1800"/>
            <a:t> – Additional observations or recommendations.</a:t>
          </a:r>
        </a:p>
        <a:p>
          <a:r>
            <a:rPr lang="en-GB" sz="1800"/>
            <a:t>Maintains staff competency evaluations, certifications, and training records.</a:t>
          </a:r>
        </a:p>
        <a:p>
          <a:r>
            <a:rPr lang="en-GB" sz="1800" b="1"/>
            <a:t>26. Data Privacy Compliance Registry</a:t>
          </a:r>
        </a:p>
        <a:p>
          <a:r>
            <a:rPr lang="en-GB" sz="1800"/>
            <a:t>Tracks data privacy compliance requirements and associated security controls to ensure adherence to regulations such as GDPR, HIPAA, and other relevant data protection laws.</a:t>
          </a:r>
        </a:p>
        <a:p>
          <a:r>
            <a:rPr lang="en-GB" sz="1800" b="1"/>
            <a:t>Columns:</a:t>
          </a:r>
          <a:endParaRPr lang="en-GB" sz="1800"/>
        </a:p>
        <a:p>
          <a:r>
            <a:rPr lang="en-GB" sz="1800" b="1"/>
            <a:t>Regulation/Requirement ID</a:t>
          </a:r>
          <a:r>
            <a:rPr lang="en-GB" sz="1800"/>
            <a:t> – Unique identifier for the compliance requirement.</a:t>
          </a:r>
        </a:p>
        <a:p>
          <a:r>
            <a:rPr lang="en-GB" sz="1800" b="1"/>
            <a:t>Requirement Description</a:t>
          </a:r>
          <a:r>
            <a:rPr lang="en-GB" sz="1800"/>
            <a:t> – Summary of the legal or regulatory obligation.</a:t>
          </a:r>
        </a:p>
        <a:p>
          <a:r>
            <a:rPr lang="en-GB" sz="1800" b="1"/>
            <a:t>Applicability</a:t>
          </a:r>
          <a:r>
            <a:rPr lang="en-GB" sz="1800"/>
            <a:t> – Whether the requirement applies to the organization’s data processing activities.</a:t>
          </a:r>
        </a:p>
        <a:p>
          <a:r>
            <a:rPr lang="en-GB" sz="1800" b="1"/>
            <a:t>Compliance Status</a:t>
          </a:r>
          <a:r>
            <a:rPr lang="en-GB" sz="1800"/>
            <a:t> – Indicates whether the organization is compliant, non-compliant, or in progress.</a:t>
          </a:r>
        </a:p>
        <a:p>
          <a:r>
            <a:rPr lang="en-GB" sz="1800" b="1"/>
            <a:t>Responsible Party</a:t>
          </a:r>
          <a:r>
            <a:rPr lang="en-GB" sz="1800"/>
            <a:t> – Individual or team accountable for ensuring compliance.</a:t>
          </a:r>
        </a:p>
        <a:p>
          <a:r>
            <a:rPr lang="en-GB" sz="1800" b="1"/>
            <a:t>Last Audit Date</a:t>
          </a:r>
          <a:r>
            <a:rPr lang="en-GB" sz="1800"/>
            <a:t> – Date of the last compliance audit or review.</a:t>
          </a:r>
        </a:p>
        <a:p>
          <a:r>
            <a:rPr lang="en-GB" sz="1800" b="1"/>
            <a:t>Remediation Actions</a:t>
          </a:r>
          <a:r>
            <a:rPr lang="en-GB" sz="1800"/>
            <a:t> – Steps taken to address any identified gaps.</a:t>
          </a:r>
        </a:p>
        <a:p>
          <a:r>
            <a:rPr lang="en-GB" sz="1800" b="1"/>
            <a:t>Next Review Date</a:t>
          </a:r>
          <a:r>
            <a:rPr lang="en-GB" sz="1800"/>
            <a:t> – Scheduled date for reassessment of compliance status.</a:t>
          </a:r>
        </a:p>
        <a:p>
          <a:r>
            <a:rPr lang="en-GB" sz="1800" b="1"/>
            <a:t>Comments</a:t>
          </a:r>
          <a:r>
            <a:rPr lang="en-GB" sz="1800"/>
            <a:t> – Additional observations, supporting notes, or legal references.</a:t>
          </a:r>
        </a:p>
        <a:p>
          <a:r>
            <a:rPr lang="en-GB" sz="1800"/>
            <a:t>Tracks data privacy compliance requirements and associated security controls.</a:t>
          </a:r>
        </a:p>
        <a:p>
          <a:r>
            <a:rPr lang="en-GB" sz="1800" b="1"/>
            <a:t>28. Access Control Matrix</a:t>
          </a:r>
        </a:p>
        <a:p>
          <a:r>
            <a:rPr lang="en-GB" sz="1800"/>
            <a:t>Defines access rights and permissions for users based on roles and responsibilities to enforce security and ensure compliance with least privilege principles.</a:t>
          </a:r>
        </a:p>
        <a:p>
          <a:r>
            <a:rPr lang="en-GB" sz="1800" b="1"/>
            <a:t>Columns:</a:t>
          </a:r>
          <a:endParaRPr lang="en-GB" sz="1800"/>
        </a:p>
        <a:p>
          <a:r>
            <a:rPr lang="en-GB" sz="1800" b="1"/>
            <a:t>System/Application Name</a:t>
          </a:r>
          <a:r>
            <a:rPr lang="en-GB" sz="1800"/>
            <a:t> – Name of the system, application, or data repository where access is being managed.</a:t>
          </a:r>
        </a:p>
        <a:p>
          <a:r>
            <a:rPr lang="en-GB" sz="1800" b="1"/>
            <a:t>User ID</a:t>
          </a:r>
          <a:r>
            <a:rPr lang="en-GB" sz="1800"/>
            <a:t> – Unique identifier for the user.</a:t>
          </a:r>
        </a:p>
        <a:p>
          <a:r>
            <a:rPr lang="en-GB" sz="1800" b="1"/>
            <a:t>User Role</a:t>
          </a:r>
          <a:r>
            <a:rPr lang="en-GB" sz="1800"/>
            <a:t> – Role assigned to the user (e.g., Admin, User, Read-Only).</a:t>
          </a:r>
        </a:p>
        <a:p>
          <a:r>
            <a:rPr lang="en-GB" sz="1800" b="1"/>
            <a:t>Access Level</a:t>
          </a:r>
          <a:r>
            <a:rPr lang="en-GB" sz="1800"/>
            <a:t> – Permissions granted (e.g., Read, Write, Execute, Admin).</a:t>
          </a:r>
        </a:p>
        <a:p>
          <a:r>
            <a:rPr lang="en-GB" sz="1800" b="1"/>
            <a:t>Approval Status</a:t>
          </a:r>
          <a:r>
            <a:rPr lang="en-GB" sz="1800"/>
            <a:t> – Indicates whether access has been approved or is pending review.</a:t>
          </a:r>
        </a:p>
        <a:p>
          <a:r>
            <a:rPr lang="en-GB" sz="1800" b="1"/>
            <a:t>Request Date</a:t>
          </a:r>
          <a:r>
            <a:rPr lang="en-GB" sz="1800"/>
            <a:t> – Date when access was requested.</a:t>
          </a:r>
        </a:p>
        <a:p>
          <a:r>
            <a:rPr lang="en-GB" sz="1800" b="1"/>
            <a:t>Approval Date</a:t>
          </a:r>
          <a:r>
            <a:rPr lang="en-GB" sz="1800"/>
            <a:t> – Date when access was granted.</a:t>
          </a:r>
        </a:p>
        <a:p>
          <a:r>
            <a:rPr lang="en-GB" sz="1800" b="1"/>
            <a:t>Review Date</a:t>
          </a:r>
          <a:r>
            <a:rPr lang="en-GB" sz="1800"/>
            <a:t> – Scheduled date for reviewing access rights.</a:t>
          </a:r>
        </a:p>
        <a:p>
          <a:r>
            <a:rPr lang="en-GB" sz="1800" b="1"/>
            <a:t>Owner</a:t>
          </a:r>
          <a:r>
            <a:rPr lang="en-GB" sz="1800"/>
            <a:t> – Person or team responsible for managing access.</a:t>
          </a:r>
        </a:p>
        <a:p>
          <a:r>
            <a:rPr lang="en-GB" sz="1800" b="1"/>
            <a:t>Notes</a:t>
          </a:r>
          <a:r>
            <a:rPr lang="en-GB" sz="1800"/>
            <a:t> – Additional comments or justifications for access changes.</a:t>
          </a:r>
        </a:p>
        <a:p>
          <a:r>
            <a:rPr lang="en-GB" sz="1800"/>
            <a:t>Defines access rights and permissions for users based on roles and responsibilities.</a:t>
          </a:r>
        </a:p>
        <a:p>
          <a:r>
            <a:rPr lang="en-GB" sz="1800" b="1"/>
            <a:t>29. Security Policy Acknowledgment Log</a:t>
          </a:r>
        </a:p>
        <a:p>
          <a:r>
            <a:rPr lang="en-GB" sz="1800"/>
            <a:t>Maintains acknowledgment records for employees who have reviewed security policies to ensure awareness and compliance.</a:t>
          </a:r>
        </a:p>
        <a:p>
          <a:r>
            <a:rPr lang="en-GB" sz="1800" b="1"/>
            <a:t>Columns:</a:t>
          </a:r>
          <a:endParaRPr lang="en-GB" sz="1800"/>
        </a:p>
        <a:p>
          <a:r>
            <a:rPr lang="en-GB" sz="1800" b="1"/>
            <a:t>Employee ID</a:t>
          </a:r>
          <a:r>
            <a:rPr lang="en-GB" sz="1800"/>
            <a:t> – Unique identifier for the employee.</a:t>
          </a:r>
        </a:p>
        <a:p>
          <a:r>
            <a:rPr lang="en-GB" sz="1800" b="1"/>
            <a:t>Employee Name</a:t>
          </a:r>
          <a:r>
            <a:rPr lang="en-GB" sz="1800"/>
            <a:t> – Name of the individual acknowledging the policy.</a:t>
          </a:r>
        </a:p>
        <a:p>
          <a:r>
            <a:rPr lang="en-GB" sz="1800" b="1"/>
            <a:t>Policy Name</a:t>
          </a:r>
          <a:r>
            <a:rPr lang="en-GB" sz="1800"/>
            <a:t> – Title or reference of the security policy reviewed.</a:t>
          </a:r>
        </a:p>
        <a:p>
          <a:r>
            <a:rPr lang="en-GB" sz="1800" b="1"/>
            <a:t>Date of Acknowledgment</a:t>
          </a:r>
          <a:r>
            <a:rPr lang="en-GB" sz="1800"/>
            <a:t> – Date the employee acknowledged the policy.</a:t>
          </a:r>
        </a:p>
        <a:p>
          <a:r>
            <a:rPr lang="en-GB" sz="1800" b="1"/>
            <a:t>Acknowledgment Method</a:t>
          </a:r>
          <a:r>
            <a:rPr lang="en-GB" sz="1800"/>
            <a:t> – How the policy was acknowledged (e.g., digital signature, written confirmation).</a:t>
          </a:r>
        </a:p>
        <a:p>
          <a:r>
            <a:rPr lang="en-GB" sz="1800" b="1"/>
            <a:t>Renewal Required?</a:t>
          </a:r>
          <a:r>
            <a:rPr lang="en-GB" sz="1800"/>
            <a:t> – Indicates whether re-acknowledgment is required periodically.</a:t>
          </a:r>
        </a:p>
        <a:p>
          <a:r>
            <a:rPr lang="en-GB" sz="1800" b="1"/>
            <a:t>Next Acknowledgment Date</a:t>
          </a:r>
          <a:r>
            <a:rPr lang="en-GB" sz="1800"/>
            <a:t> – Scheduled date for policy re-acknowledgment.</a:t>
          </a:r>
        </a:p>
        <a:p>
          <a:r>
            <a:rPr lang="en-GB" sz="1800" b="1"/>
            <a:t>Comments</a:t>
          </a:r>
          <a:r>
            <a:rPr lang="en-GB" sz="1800"/>
            <a:t> – Additional notes or observations.</a:t>
          </a:r>
        </a:p>
        <a:p>
          <a:r>
            <a:rPr lang="en-GB" sz="1800"/>
            <a:t>Maintains acknowledgment records for employees who have reviewed security policies.</a:t>
          </a:r>
        </a:p>
        <a:p>
          <a:r>
            <a:rPr lang="en-GB" sz="1800" b="1"/>
            <a:t>30. Security KPI &amp; Metrics Tracker</a:t>
          </a:r>
        </a:p>
        <a:p>
          <a:r>
            <a:rPr lang="en-GB" sz="1800"/>
            <a:t>Tracks key security performance indicators (KPIs) and compliance metrics to measure the effectiveness of information security management practices.</a:t>
          </a:r>
        </a:p>
        <a:p>
          <a:r>
            <a:rPr lang="en-GB" sz="1800" b="1"/>
            <a:t>Columns:</a:t>
          </a:r>
          <a:endParaRPr lang="en-GB" sz="1800"/>
        </a:p>
        <a:p>
          <a:r>
            <a:rPr lang="en-GB" sz="1800" b="1"/>
            <a:t>Metric ID</a:t>
          </a:r>
          <a:r>
            <a:rPr lang="en-GB" sz="1800"/>
            <a:t> – Unique identifier for the KPI or metric.</a:t>
          </a:r>
        </a:p>
        <a:p>
          <a:r>
            <a:rPr lang="en-GB" sz="1800" b="1"/>
            <a:t>Metric Name</a:t>
          </a:r>
          <a:r>
            <a:rPr lang="en-GB" sz="1800"/>
            <a:t> – Title or description of the security metric being measured.</a:t>
          </a:r>
        </a:p>
        <a:p>
          <a:r>
            <a:rPr lang="en-GB" sz="1800" b="1"/>
            <a:t>Category</a:t>
          </a:r>
          <a:r>
            <a:rPr lang="en-GB" sz="1800"/>
            <a:t> – Classification of the metric (e.g., Incident Response, Risk Management, Compliance).</a:t>
          </a:r>
        </a:p>
        <a:p>
          <a:r>
            <a:rPr lang="en-GB" sz="1800" b="1"/>
            <a:t>Baseline Value</a:t>
          </a:r>
          <a:r>
            <a:rPr lang="en-GB" sz="1800"/>
            <a:t> – Initial benchmark or starting point for measurement.</a:t>
          </a:r>
        </a:p>
        <a:p>
          <a:r>
            <a:rPr lang="en-GB" sz="1800" b="1"/>
            <a:t>Current Value</a:t>
          </a:r>
          <a:r>
            <a:rPr lang="en-GB" sz="1800"/>
            <a:t> – Latest recorded value of the metric.</a:t>
          </a:r>
        </a:p>
        <a:p>
          <a:r>
            <a:rPr lang="en-GB" sz="1800" b="1"/>
            <a:t>Target Value</a:t>
          </a:r>
          <a:r>
            <a:rPr lang="en-GB" sz="1800"/>
            <a:t> – Desired goal or compliance threshold.</a:t>
          </a:r>
        </a:p>
        <a:p>
          <a:r>
            <a:rPr lang="en-GB" sz="1800" b="1"/>
            <a:t>Measurement Frequency</a:t>
          </a:r>
          <a:r>
            <a:rPr lang="en-GB" sz="1800"/>
            <a:t> – How often the metric is reviewed (e.g., Monthly, Quarterly, Annually).</a:t>
          </a:r>
        </a:p>
        <a:p>
          <a:r>
            <a:rPr lang="en-GB" sz="1800" b="1"/>
            <a:t>Responsible Party</a:t>
          </a:r>
          <a:r>
            <a:rPr lang="en-GB" sz="1800"/>
            <a:t> – Individual or team accountable for tracking and improving the metric.</a:t>
          </a:r>
        </a:p>
        <a:p>
          <a:r>
            <a:rPr lang="en-GB" sz="1800" b="1"/>
            <a:t>Trend Analysis</a:t>
          </a:r>
          <a:r>
            <a:rPr lang="en-GB" sz="1800"/>
            <a:t> – Notes on trends, improvements, or deteriorations over time.</a:t>
          </a:r>
        </a:p>
        <a:p>
          <a:r>
            <a:rPr lang="en-GB" sz="1800" b="1"/>
            <a:t>Last Review Date</a:t>
          </a:r>
          <a:r>
            <a:rPr lang="en-GB" sz="1800"/>
            <a:t> – Date when the metric was last analyzed.</a:t>
          </a:r>
        </a:p>
        <a:p>
          <a:r>
            <a:rPr lang="en-GB" sz="1800" b="1"/>
            <a:t>Comments</a:t>
          </a:r>
          <a:r>
            <a:rPr lang="en-GB" sz="1800"/>
            <a:t> – Additional observations or supporting notes.</a:t>
          </a:r>
        </a:p>
        <a:p>
          <a:r>
            <a:rPr lang="en-GB" sz="1800"/>
            <a:t>Tracks key security performance indicators (KPIs) and compliance metrics.</a:t>
          </a:r>
        </a:p>
        <a:p>
          <a:r>
            <a:rPr lang="en-GB" sz="1800" b="1"/>
            <a:t>31. Formulas</a:t>
          </a:r>
        </a:p>
        <a:p>
          <a:r>
            <a:rPr lang="en-GB" sz="1800"/>
            <a:t>Contains reference formulas used throughout the workbook for calculations and metrics.</a:t>
          </a:r>
        </a:p>
        <a:p>
          <a:r>
            <a:rPr lang="en-GB" sz="1800"/>
            <a:t>This document provides a reference for maintaining and updating the ISO 27001 workbook, ensuring consistency and clarity in record-keeping for compliance and security management.</a:t>
          </a:r>
        </a:p>
      </xdr:txBody>
    </xdr:sp>
    <xdr:clientData/>
  </xdr:twoCellAnchor>
  <xdr:twoCellAnchor>
    <xdr:from>
      <xdr:col>19</xdr:col>
      <xdr:colOff>0</xdr:colOff>
      <xdr:row>0</xdr:row>
      <xdr:rowOff>0</xdr:rowOff>
    </xdr:from>
    <xdr:to>
      <xdr:col>20</xdr:col>
      <xdr:colOff>388231</xdr:colOff>
      <xdr:row>2</xdr:row>
      <xdr:rowOff>21043</xdr:rowOff>
    </xdr:to>
    <xdr:sp macro="" textlink="">
      <xdr:nvSpPr>
        <xdr:cNvPr id="3" name="TextBox 2">
          <a:hlinkClick xmlns:r="http://schemas.openxmlformats.org/officeDocument/2006/relationships" r:id="rId1"/>
          <a:extLst>
            <a:ext uri="{FF2B5EF4-FFF2-40B4-BE49-F238E27FC236}">
              <a16:creationId xmlns:a16="http://schemas.microsoft.com/office/drawing/2014/main" id="{B6990405-B133-434E-A665-05DC845607DD}"/>
            </a:ext>
          </a:extLst>
        </xdr:cNvPr>
        <xdr:cNvSpPr txBox="1"/>
      </xdr:nvSpPr>
      <xdr:spPr>
        <a:xfrm>
          <a:off x="166497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twoCellAnchor>
    <xdr:from>
      <xdr:col>25</xdr:col>
      <xdr:colOff>76200</xdr:colOff>
      <xdr:row>331</xdr:row>
      <xdr:rowOff>0</xdr:rowOff>
    </xdr:from>
    <xdr:to>
      <xdr:col>26</xdr:col>
      <xdr:colOff>355600</xdr:colOff>
      <xdr:row>334</xdr:row>
      <xdr:rowOff>177800</xdr:rowOff>
    </xdr:to>
    <xdr:sp macro="[0]!GoForward" textlink="">
      <xdr:nvSpPr>
        <xdr:cNvPr id="4" name="Right Arrow 1">
          <a:extLst>
            <a:ext uri="{FF2B5EF4-FFF2-40B4-BE49-F238E27FC236}">
              <a16:creationId xmlns:a16="http://schemas.microsoft.com/office/drawing/2014/main" id="{15288076-0056-584B-B3A2-71349B0B6194}"/>
            </a:ext>
          </a:extLst>
        </xdr:cNvPr>
        <xdr:cNvSpPr/>
      </xdr:nvSpPr>
      <xdr:spPr>
        <a:xfrm>
          <a:off x="21983700" y="63055500"/>
          <a:ext cx="1155700" cy="7493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Forward</a:t>
          </a:r>
        </a:p>
      </xdr:txBody>
    </xdr:sp>
    <xdr:clientData/>
  </xdr:twoCellAnchor>
  <xdr:twoCellAnchor>
    <xdr:from>
      <xdr:col>22</xdr:col>
      <xdr:colOff>0</xdr:colOff>
      <xdr:row>331</xdr:row>
      <xdr:rowOff>25400</xdr:rowOff>
    </xdr:from>
    <xdr:to>
      <xdr:col>23</xdr:col>
      <xdr:colOff>266700</xdr:colOff>
      <xdr:row>335</xdr:row>
      <xdr:rowOff>12700</xdr:rowOff>
    </xdr:to>
    <xdr:sp macro="[0]!GoBack" textlink="">
      <xdr:nvSpPr>
        <xdr:cNvPr id="5" name="Right Arrow 2">
          <a:extLst>
            <a:ext uri="{FF2B5EF4-FFF2-40B4-BE49-F238E27FC236}">
              <a16:creationId xmlns:a16="http://schemas.microsoft.com/office/drawing/2014/main" id="{204BF076-173C-F347-B5E9-8CF8F18ED671}"/>
            </a:ext>
          </a:extLst>
        </xdr:cNvPr>
        <xdr:cNvSpPr/>
      </xdr:nvSpPr>
      <xdr:spPr>
        <a:xfrm flipH="1">
          <a:off x="19278600" y="63080900"/>
          <a:ext cx="1143000" cy="7493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BACK</a:t>
          </a:r>
          <a:endParaRPr lang="en-GB" sz="1100"/>
        </a:p>
      </xdr:txBody>
    </xdr:sp>
    <xdr:clientData/>
  </xdr:twoCellAnchor>
  <xdr:twoCellAnchor>
    <xdr:from>
      <xdr:col>23</xdr:col>
      <xdr:colOff>431800</xdr:colOff>
      <xdr:row>331</xdr:row>
      <xdr:rowOff>25400</xdr:rowOff>
    </xdr:from>
    <xdr:to>
      <xdr:col>24</xdr:col>
      <xdr:colOff>787400</xdr:colOff>
      <xdr:row>334</xdr:row>
      <xdr:rowOff>177800</xdr:rowOff>
    </xdr:to>
    <xdr:sp macro="[0]!GoToTOC" textlink="">
      <xdr:nvSpPr>
        <xdr:cNvPr id="7" name="Rounded Rectangle 3">
          <a:extLst>
            <a:ext uri="{FF2B5EF4-FFF2-40B4-BE49-F238E27FC236}">
              <a16:creationId xmlns:a16="http://schemas.microsoft.com/office/drawing/2014/main" id="{E42C6D7B-DF93-FE4E-81BF-472E76FC4431}"/>
            </a:ext>
          </a:extLst>
        </xdr:cNvPr>
        <xdr:cNvSpPr/>
      </xdr:nvSpPr>
      <xdr:spPr>
        <a:xfrm>
          <a:off x="20586700" y="63080900"/>
          <a:ext cx="1231900" cy="723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200"/>
            <a:t>TOC</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388231</xdr:colOff>
      <xdr:row>14</xdr:row>
      <xdr:rowOff>71843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5914EA4B-7F86-4D40-8E0D-C212B0B2E732}"/>
            </a:ext>
          </a:extLst>
        </xdr:cNvPr>
        <xdr:cNvSpPr txBox="1"/>
      </xdr:nvSpPr>
      <xdr:spPr>
        <a:xfrm>
          <a:off x="163703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0</xdr:row>
      <xdr:rowOff>0</xdr:rowOff>
    </xdr:from>
    <xdr:to>
      <xdr:col>12</xdr:col>
      <xdr:colOff>540191</xdr:colOff>
      <xdr:row>2</xdr:row>
      <xdr:rowOff>12700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11DC8500-CCE6-4766-8A5D-EAE7811B550F}"/>
            </a:ext>
          </a:extLst>
        </xdr:cNvPr>
        <xdr:cNvSpPr txBox="1"/>
      </xdr:nvSpPr>
      <xdr:spPr>
        <a:xfrm>
          <a:off x="13896975" y="0"/>
          <a:ext cx="1149791" cy="393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GB" sz="1600">
              <a:solidFill>
                <a:srgbClr val="FF0000"/>
              </a:solidFill>
            </a:rPr>
            <a:t>Back to TOC</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0</xdr:colOff>
      <xdr:row>0</xdr:row>
      <xdr:rowOff>0</xdr:rowOff>
    </xdr:from>
    <xdr:to>
      <xdr:col>16</xdr:col>
      <xdr:colOff>591431</xdr:colOff>
      <xdr:row>0</xdr:row>
      <xdr:rowOff>402043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80ACDF12-0739-7245-BA67-F110B57DF7C2}"/>
            </a:ext>
          </a:extLst>
        </xdr:cNvPr>
        <xdr:cNvSpPr txBox="1"/>
      </xdr:nvSpPr>
      <xdr:spPr>
        <a:xfrm>
          <a:off x="189992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105957</xdr:colOff>
      <xdr:row>1</xdr:row>
      <xdr:rowOff>24520</xdr:rowOff>
    </xdr:from>
    <xdr:to>
      <xdr:col>17</xdr:col>
      <xdr:colOff>74648</xdr:colOff>
      <xdr:row>3</xdr:row>
      <xdr:rowOff>37220</xdr:rowOff>
    </xdr:to>
    <xdr:sp macro="" textlink="">
      <xdr:nvSpPr>
        <xdr:cNvPr id="2" name="TextBox 1">
          <a:hlinkClick xmlns:r="http://schemas.openxmlformats.org/officeDocument/2006/relationships" r:id="rId1"/>
          <a:extLst>
            <a:ext uri="{FF2B5EF4-FFF2-40B4-BE49-F238E27FC236}">
              <a16:creationId xmlns:a16="http://schemas.microsoft.com/office/drawing/2014/main" id="{83D5B4E0-A0A4-4275-BE1F-63514A766C5F}"/>
            </a:ext>
          </a:extLst>
        </xdr:cNvPr>
        <xdr:cNvSpPr txBox="1"/>
      </xdr:nvSpPr>
      <xdr:spPr>
        <a:xfrm>
          <a:off x="18146307" y="224545"/>
          <a:ext cx="1149791" cy="393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387791</xdr:colOff>
      <xdr:row>1</xdr:row>
      <xdr:rowOff>203200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3EC067AE-9BA9-4540-B81C-DACCD4B21965}"/>
            </a:ext>
          </a:extLst>
        </xdr:cNvPr>
        <xdr:cNvSpPr txBox="1"/>
      </xdr:nvSpPr>
      <xdr:spPr>
        <a:xfrm>
          <a:off x="9248775" y="0"/>
          <a:ext cx="1149791" cy="393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GB" sz="1600">
              <a:solidFill>
                <a:srgbClr val="FF0000"/>
              </a:solidFill>
            </a:rPr>
            <a:t>Back to TOC</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17</xdr:col>
      <xdr:colOff>254000</xdr:colOff>
      <xdr:row>0</xdr:row>
      <xdr:rowOff>88900</xdr:rowOff>
    </xdr:from>
    <xdr:to>
      <xdr:col>17</xdr:col>
      <xdr:colOff>1518531</xdr:colOff>
      <xdr:row>1</xdr:row>
      <xdr:rowOff>224243</xdr:rowOff>
    </xdr:to>
    <xdr:sp macro="" textlink="">
      <xdr:nvSpPr>
        <xdr:cNvPr id="3" name="TextBox 1">
          <a:hlinkClick xmlns:r="http://schemas.openxmlformats.org/officeDocument/2006/relationships" r:id="rId1"/>
          <a:extLst>
            <a:ext uri="{FF2B5EF4-FFF2-40B4-BE49-F238E27FC236}">
              <a16:creationId xmlns:a16="http://schemas.microsoft.com/office/drawing/2014/main" id="{8624A78D-D172-3E4F-ADA1-7FAD4A911FEC}"/>
            </a:ext>
          </a:extLst>
        </xdr:cNvPr>
        <xdr:cNvSpPr txBox="1"/>
      </xdr:nvSpPr>
      <xdr:spPr>
        <a:xfrm>
          <a:off x="40398700" y="8890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29007</xdr:colOff>
      <xdr:row>14</xdr:row>
      <xdr:rowOff>66478</xdr:rowOff>
    </xdr:from>
    <xdr:to>
      <xdr:col>14</xdr:col>
      <xdr:colOff>620438</xdr:colOff>
      <xdr:row>14</xdr:row>
      <xdr:rowOff>466169</xdr:rowOff>
    </xdr:to>
    <xdr:sp macro="" textlink="">
      <xdr:nvSpPr>
        <xdr:cNvPr id="4" name="TextBox 1">
          <a:hlinkClick xmlns:r="http://schemas.openxmlformats.org/officeDocument/2006/relationships" r:id="rId1"/>
          <a:extLst>
            <a:ext uri="{FF2B5EF4-FFF2-40B4-BE49-F238E27FC236}">
              <a16:creationId xmlns:a16="http://schemas.microsoft.com/office/drawing/2014/main" id="{5FE567DB-B44D-9F48-8B5C-03362B86D7DB}"/>
            </a:ext>
          </a:extLst>
        </xdr:cNvPr>
        <xdr:cNvSpPr txBox="1"/>
      </xdr:nvSpPr>
      <xdr:spPr>
        <a:xfrm>
          <a:off x="22622307" y="447478"/>
          <a:ext cx="1467731" cy="3996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50800</xdr:colOff>
      <xdr:row>0</xdr:row>
      <xdr:rowOff>63500</xdr:rowOff>
    </xdr:from>
    <xdr:to>
      <xdr:col>10</xdr:col>
      <xdr:colOff>1308100</xdr:colOff>
      <xdr:row>2</xdr:row>
      <xdr:rowOff>63500</xdr:rowOff>
    </xdr:to>
    <xdr:sp macro="" textlink="">
      <xdr:nvSpPr>
        <xdr:cNvPr id="4" name="TextBox 1">
          <a:hlinkClick xmlns:r="http://schemas.openxmlformats.org/officeDocument/2006/relationships" r:id="rId1"/>
          <a:extLst>
            <a:ext uri="{FF2B5EF4-FFF2-40B4-BE49-F238E27FC236}">
              <a16:creationId xmlns:a16="http://schemas.microsoft.com/office/drawing/2014/main" id="{EDEEDB86-E286-AA41-80E3-C6693D7DC6A7}"/>
            </a:ext>
          </a:extLst>
        </xdr:cNvPr>
        <xdr:cNvSpPr txBox="1"/>
      </xdr:nvSpPr>
      <xdr:spPr>
        <a:xfrm>
          <a:off x="15367000" y="63500"/>
          <a:ext cx="1257300" cy="393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19</xdr:col>
      <xdr:colOff>0</xdr:colOff>
      <xdr:row>0</xdr:row>
      <xdr:rowOff>0</xdr:rowOff>
    </xdr:from>
    <xdr:to>
      <xdr:col>20</xdr:col>
      <xdr:colOff>591431</xdr:colOff>
      <xdr:row>2</xdr:row>
      <xdr:rowOff>8343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905ABDAA-D08A-6E45-91B3-545248E65DF8}"/>
            </a:ext>
          </a:extLst>
        </xdr:cNvPr>
        <xdr:cNvSpPr txBox="1"/>
      </xdr:nvSpPr>
      <xdr:spPr>
        <a:xfrm>
          <a:off x="266827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0</xdr:row>
      <xdr:rowOff>0</xdr:rowOff>
    </xdr:from>
    <xdr:to>
      <xdr:col>12</xdr:col>
      <xdr:colOff>592178</xdr:colOff>
      <xdr:row>2</xdr:row>
      <xdr:rowOff>28514</xdr:rowOff>
    </xdr:to>
    <xdr:sp macro="" textlink="">
      <xdr:nvSpPr>
        <xdr:cNvPr id="2" name="TextBox 1">
          <a:hlinkClick xmlns:r="http://schemas.openxmlformats.org/officeDocument/2006/relationships" r:id="rId1"/>
          <a:extLst>
            <a:ext uri="{FF2B5EF4-FFF2-40B4-BE49-F238E27FC236}">
              <a16:creationId xmlns:a16="http://schemas.microsoft.com/office/drawing/2014/main" id="{D64B7D70-2058-C04C-915F-27D9EB0C6906}"/>
            </a:ext>
          </a:extLst>
        </xdr:cNvPr>
        <xdr:cNvSpPr txBox="1"/>
      </xdr:nvSpPr>
      <xdr:spPr>
        <a:xfrm>
          <a:off x="13795686"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19</xdr:col>
      <xdr:colOff>0</xdr:colOff>
      <xdr:row>0</xdr:row>
      <xdr:rowOff>0</xdr:rowOff>
    </xdr:from>
    <xdr:to>
      <xdr:col>20</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8EFC56E4-D66C-E340-99C8-FC07643E5599}"/>
            </a:ext>
          </a:extLst>
        </xdr:cNvPr>
        <xdr:cNvSpPr txBox="1"/>
      </xdr:nvSpPr>
      <xdr:spPr>
        <a:xfrm>
          <a:off x="242824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0</xdr:colOff>
      <xdr:row>1</xdr:row>
      <xdr:rowOff>0</xdr:rowOff>
    </xdr:from>
    <xdr:to>
      <xdr:col>24</xdr:col>
      <xdr:colOff>591431</xdr:colOff>
      <xdr:row>3</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F88213E2-7745-7E44-8593-5BC894A2B03C}"/>
            </a:ext>
          </a:extLst>
        </xdr:cNvPr>
        <xdr:cNvSpPr txBox="1"/>
      </xdr:nvSpPr>
      <xdr:spPr>
        <a:xfrm>
          <a:off x="146304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0</xdr:colOff>
      <xdr:row>0</xdr:row>
      <xdr:rowOff>0</xdr:rowOff>
    </xdr:from>
    <xdr:to>
      <xdr:col>13</xdr:col>
      <xdr:colOff>591431</xdr:colOff>
      <xdr:row>1</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6112B2-0ABB-4C4E-B3DF-72202BD7130D}"/>
            </a:ext>
          </a:extLst>
        </xdr:cNvPr>
        <xdr:cNvSpPr txBox="1"/>
      </xdr:nvSpPr>
      <xdr:spPr>
        <a:xfrm>
          <a:off x="152019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0</xdr:colOff>
      <xdr:row>0</xdr:row>
      <xdr:rowOff>0</xdr:rowOff>
    </xdr:from>
    <xdr:to>
      <xdr:col>13</xdr:col>
      <xdr:colOff>572381</xdr:colOff>
      <xdr:row>1</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5BD786EE-6E5B-4958-8583-34C36E27449D}"/>
            </a:ext>
          </a:extLst>
        </xdr:cNvPr>
        <xdr:cNvSpPr txBox="1"/>
      </xdr:nvSpPr>
      <xdr:spPr>
        <a:xfrm>
          <a:off x="11753850" y="0"/>
          <a:ext cx="1181981" cy="2115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GB" sz="1600">
              <a:solidFill>
                <a:srgbClr val="FF0000"/>
              </a:solidFill>
            </a:rPr>
            <a:t>Back to TOC</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0</xdr:colOff>
      <xdr:row>0</xdr:row>
      <xdr:rowOff>0</xdr:rowOff>
    </xdr:from>
    <xdr:to>
      <xdr:col>11</xdr:col>
      <xdr:colOff>1264531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9FF4B2F5-CE1D-1840-820F-47F9231721C8}"/>
            </a:ext>
          </a:extLst>
        </xdr:cNvPr>
        <xdr:cNvSpPr txBox="1"/>
      </xdr:nvSpPr>
      <xdr:spPr>
        <a:xfrm>
          <a:off x="209042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0</xdr:colOff>
      <xdr:row>0</xdr:row>
      <xdr:rowOff>9525</xdr:rowOff>
    </xdr:from>
    <xdr:to>
      <xdr:col>11</xdr:col>
      <xdr:colOff>378706</xdr:colOff>
      <xdr:row>3</xdr:row>
      <xdr:rowOff>1993</xdr:rowOff>
    </xdr:to>
    <xdr:sp macro="" textlink="">
      <xdr:nvSpPr>
        <xdr:cNvPr id="3" name="TextBox 1">
          <a:hlinkClick xmlns:r="http://schemas.openxmlformats.org/officeDocument/2006/relationships" r:id="rId1"/>
          <a:extLst>
            <a:ext uri="{FF2B5EF4-FFF2-40B4-BE49-F238E27FC236}">
              <a16:creationId xmlns:a16="http://schemas.microsoft.com/office/drawing/2014/main" id="{BB64D066-8AAF-418B-A0EB-8391E40476EF}"/>
            </a:ext>
          </a:extLst>
        </xdr:cNvPr>
        <xdr:cNvSpPr txBox="1"/>
      </xdr:nvSpPr>
      <xdr:spPr>
        <a:xfrm>
          <a:off x="25346025" y="9525"/>
          <a:ext cx="1150231" cy="6115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GB" sz="1600">
              <a:solidFill>
                <a:srgbClr val="FF0000"/>
              </a:solidFill>
            </a:rPr>
            <a:t>Back to TOC</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12700</xdr:colOff>
      <xdr:row>2</xdr:row>
      <xdr:rowOff>12700</xdr:rowOff>
    </xdr:from>
    <xdr:to>
      <xdr:col>13</xdr:col>
      <xdr:colOff>604131</xdr:colOff>
      <xdr:row>2</xdr:row>
      <xdr:rowOff>833843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198BA5E9-1CF5-D543-B204-E01E34DF859B}"/>
            </a:ext>
          </a:extLst>
        </xdr:cNvPr>
        <xdr:cNvSpPr txBox="1"/>
      </xdr:nvSpPr>
      <xdr:spPr>
        <a:xfrm>
          <a:off x="14147800" y="812800"/>
          <a:ext cx="1264531" cy="8211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23</xdr:col>
      <xdr:colOff>0</xdr:colOff>
      <xdr:row>0</xdr:row>
      <xdr:rowOff>0</xdr:rowOff>
    </xdr:from>
    <xdr:to>
      <xdr:col>24</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798FF227-31EC-9740-B1D3-D8E017EB314A}"/>
            </a:ext>
          </a:extLst>
        </xdr:cNvPr>
        <xdr:cNvSpPr txBox="1"/>
      </xdr:nvSpPr>
      <xdr:spPr>
        <a:xfrm>
          <a:off x="264033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19</xdr:col>
      <xdr:colOff>0</xdr:colOff>
      <xdr:row>0</xdr:row>
      <xdr:rowOff>0</xdr:rowOff>
    </xdr:from>
    <xdr:to>
      <xdr:col>20</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85842E82-4E00-F24D-92D4-EFBF03A87BF9}"/>
            </a:ext>
          </a:extLst>
        </xdr:cNvPr>
        <xdr:cNvSpPr txBox="1"/>
      </xdr:nvSpPr>
      <xdr:spPr>
        <a:xfrm>
          <a:off x="275971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14</xdr:col>
      <xdr:colOff>0</xdr:colOff>
      <xdr:row>0</xdr:row>
      <xdr:rowOff>0</xdr:rowOff>
    </xdr:from>
    <xdr:to>
      <xdr:col>15</xdr:col>
      <xdr:colOff>591431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D12B1622-08E9-6E45-BAD6-602066BFE606}"/>
            </a:ext>
          </a:extLst>
        </xdr:cNvPr>
        <xdr:cNvSpPr txBox="1"/>
      </xdr:nvSpPr>
      <xdr:spPr>
        <a:xfrm>
          <a:off x="188595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9</xdr:col>
      <xdr:colOff>0</xdr:colOff>
      <xdr:row>0</xdr:row>
      <xdr:rowOff>0</xdr:rowOff>
    </xdr:from>
    <xdr:to>
      <xdr:col>10</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C47E8B67-C61C-894F-9B77-9C53106AFEC8}"/>
            </a:ext>
          </a:extLst>
        </xdr:cNvPr>
        <xdr:cNvSpPr txBox="1"/>
      </xdr:nvSpPr>
      <xdr:spPr>
        <a:xfrm>
          <a:off x="99441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0</xdr:colOff>
      <xdr:row>0</xdr:row>
      <xdr:rowOff>0</xdr:rowOff>
    </xdr:from>
    <xdr:to>
      <xdr:col>8</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8C81C922-2C03-024B-A169-1E82A953EC4D}"/>
            </a:ext>
          </a:extLst>
        </xdr:cNvPr>
        <xdr:cNvSpPr txBox="1"/>
      </xdr:nvSpPr>
      <xdr:spPr>
        <a:xfrm>
          <a:off x="57277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16</xdr:col>
      <xdr:colOff>0</xdr:colOff>
      <xdr:row>0</xdr:row>
      <xdr:rowOff>0</xdr:rowOff>
    </xdr:from>
    <xdr:to>
      <xdr:col>17</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4C78EC56-1366-2045-8B0D-5E1B54B8CBB4}"/>
            </a:ext>
          </a:extLst>
        </xdr:cNvPr>
        <xdr:cNvSpPr txBox="1"/>
      </xdr:nvSpPr>
      <xdr:spPr>
        <a:xfrm>
          <a:off x="179197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0</xdr:colOff>
      <xdr:row>0</xdr:row>
      <xdr:rowOff>0</xdr:rowOff>
    </xdr:from>
    <xdr:to>
      <xdr:col>11</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8678E857-8CAC-BE4E-AFAB-0628A072E0F2}"/>
            </a:ext>
          </a:extLst>
        </xdr:cNvPr>
        <xdr:cNvSpPr txBox="1"/>
      </xdr:nvSpPr>
      <xdr:spPr>
        <a:xfrm>
          <a:off x="87630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0</xdr:colOff>
      <xdr:row>0</xdr:row>
      <xdr:rowOff>0</xdr:rowOff>
    </xdr:from>
    <xdr:to>
      <xdr:col>14</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22AA424B-CD2F-BD49-A9D8-C56918DA946A}"/>
            </a:ext>
          </a:extLst>
        </xdr:cNvPr>
        <xdr:cNvSpPr txBox="1"/>
      </xdr:nvSpPr>
      <xdr:spPr>
        <a:xfrm>
          <a:off x="112014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16</xdr:col>
      <xdr:colOff>0</xdr:colOff>
      <xdr:row>0</xdr:row>
      <xdr:rowOff>0</xdr:rowOff>
    </xdr:from>
    <xdr:to>
      <xdr:col>17</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70EC44C0-B960-7E46-BDBB-EA4519F1886B}"/>
            </a:ext>
          </a:extLst>
        </xdr:cNvPr>
        <xdr:cNvSpPr txBox="1"/>
      </xdr:nvSpPr>
      <xdr:spPr>
        <a:xfrm>
          <a:off x="103378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15</xdr:col>
      <xdr:colOff>0</xdr:colOff>
      <xdr:row>0</xdr:row>
      <xdr:rowOff>0</xdr:rowOff>
    </xdr:from>
    <xdr:to>
      <xdr:col>16</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13D16613-FDA8-EC4C-BA08-4D9C9CBF2BD4}"/>
            </a:ext>
          </a:extLst>
        </xdr:cNvPr>
        <xdr:cNvSpPr txBox="1"/>
      </xdr:nvSpPr>
      <xdr:spPr>
        <a:xfrm>
          <a:off x="164211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406400</xdr:colOff>
      <xdr:row>2</xdr:row>
      <xdr:rowOff>152400</xdr:rowOff>
    </xdr:from>
    <xdr:to>
      <xdr:col>14</xdr:col>
      <xdr:colOff>228600</xdr:colOff>
      <xdr:row>4</xdr:row>
      <xdr:rowOff>101600</xdr:rowOff>
    </xdr:to>
    <xdr:sp macro="" textlink="">
      <xdr:nvSpPr>
        <xdr:cNvPr id="7" name="TextBox 1">
          <a:hlinkClick xmlns:r="http://schemas.openxmlformats.org/officeDocument/2006/relationships" r:id="rId1"/>
          <a:extLst>
            <a:ext uri="{FF2B5EF4-FFF2-40B4-BE49-F238E27FC236}">
              <a16:creationId xmlns:a16="http://schemas.microsoft.com/office/drawing/2014/main" id="{07EBAAAE-86E7-EC44-BB3F-88A01D611E23}"/>
            </a:ext>
          </a:extLst>
        </xdr:cNvPr>
        <xdr:cNvSpPr txBox="1"/>
      </xdr:nvSpPr>
      <xdr:spPr>
        <a:xfrm>
          <a:off x="12801600" y="533400"/>
          <a:ext cx="1574800" cy="33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7</xdr:col>
      <xdr:colOff>0</xdr:colOff>
      <xdr:row>0</xdr:row>
      <xdr:rowOff>0</xdr:rowOff>
    </xdr:from>
    <xdr:to>
      <xdr:col>8</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A9E036E3-A04B-7D4E-BF3B-838E3F590652}"/>
            </a:ext>
          </a:extLst>
        </xdr:cNvPr>
        <xdr:cNvSpPr txBox="1"/>
      </xdr:nvSpPr>
      <xdr:spPr>
        <a:xfrm>
          <a:off x="7708900" y="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27</xdr:col>
      <xdr:colOff>0</xdr:colOff>
      <xdr:row>1</xdr:row>
      <xdr:rowOff>0</xdr:rowOff>
    </xdr:from>
    <xdr:to>
      <xdr:col>28</xdr:col>
      <xdr:colOff>540631</xdr:colOff>
      <xdr:row>2</xdr:row>
      <xdr:rowOff>21043</xdr:rowOff>
    </xdr:to>
    <xdr:sp macro="" textlink="">
      <xdr:nvSpPr>
        <xdr:cNvPr id="3" name="TextBox 1">
          <a:hlinkClick xmlns:r="http://schemas.openxmlformats.org/officeDocument/2006/relationships" r:id="rId1"/>
          <a:extLst>
            <a:ext uri="{FF2B5EF4-FFF2-40B4-BE49-F238E27FC236}">
              <a16:creationId xmlns:a16="http://schemas.microsoft.com/office/drawing/2014/main" id="{1A765939-ACFA-41FC-B67F-889D8305E4D8}"/>
            </a:ext>
          </a:extLst>
        </xdr:cNvPr>
        <xdr:cNvSpPr txBox="1"/>
      </xdr:nvSpPr>
      <xdr:spPr>
        <a:xfrm>
          <a:off x="12192000" y="190500"/>
          <a:ext cx="11502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GB" sz="1600">
              <a:solidFill>
                <a:srgbClr val="FF0000"/>
              </a:solidFill>
            </a:rPr>
            <a:t>Back to TOC</a:t>
          </a:r>
        </a:p>
      </xdr:txBody>
    </xdr:sp>
    <xdr:clientData/>
  </xdr:twoCellAnchor>
  <xdr:twoCellAnchor>
    <xdr:from>
      <xdr:col>16</xdr:col>
      <xdr:colOff>0</xdr:colOff>
      <xdr:row>2</xdr:row>
      <xdr:rowOff>0</xdr:rowOff>
    </xdr:from>
    <xdr:to>
      <xdr:col>17</xdr:col>
      <xdr:colOff>540631</xdr:colOff>
      <xdr:row>4</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9B41BEB0-4FD1-4074-8895-3F14DB2945A2}"/>
            </a:ext>
            <a:ext uri="{147F2762-F138-4A5C-976F-8EAC2B608ADB}">
              <a16:predDERef xmlns:a16="http://schemas.microsoft.com/office/drawing/2014/main" pred="{1A765939-ACFA-41FC-B67F-889D8305E4D8}"/>
            </a:ext>
          </a:extLst>
        </xdr:cNvPr>
        <xdr:cNvSpPr txBox="1"/>
      </xdr:nvSpPr>
      <xdr:spPr>
        <a:xfrm>
          <a:off x="13868400" y="571500"/>
          <a:ext cx="11502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GB" sz="1600">
              <a:solidFill>
                <a:srgbClr val="FF0000"/>
              </a:solidFill>
            </a:rPr>
            <a:t>Back to TOC</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8</xdr:col>
      <xdr:colOff>0</xdr:colOff>
      <xdr:row>1</xdr:row>
      <xdr:rowOff>25400</xdr:rowOff>
    </xdr:from>
    <xdr:to>
      <xdr:col>9</xdr:col>
      <xdr:colOff>388231</xdr:colOff>
      <xdr:row>3</xdr:row>
      <xdr:rowOff>46443</xdr:rowOff>
    </xdr:to>
    <xdr:sp macro="" textlink="">
      <xdr:nvSpPr>
        <xdr:cNvPr id="3" name="TextBox 1">
          <a:hlinkClick xmlns:r="http://schemas.openxmlformats.org/officeDocument/2006/relationships" r:id="rId1"/>
          <a:extLst>
            <a:ext uri="{FF2B5EF4-FFF2-40B4-BE49-F238E27FC236}">
              <a16:creationId xmlns:a16="http://schemas.microsoft.com/office/drawing/2014/main" id="{B39BAA00-4585-FD45-9861-A98B9F41E0FF}"/>
            </a:ext>
          </a:extLst>
        </xdr:cNvPr>
        <xdr:cNvSpPr txBox="1"/>
      </xdr:nvSpPr>
      <xdr:spPr>
        <a:xfrm>
          <a:off x="6972300" y="21590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388231</xdr:colOff>
      <xdr:row>2</xdr:row>
      <xdr:rowOff>21043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0C64C47B-9F3F-4881-BF11-D93B1A32F9F4}"/>
            </a:ext>
          </a:extLst>
        </xdr:cNvPr>
        <xdr:cNvSpPr txBox="1"/>
      </xdr:nvSpPr>
      <xdr:spPr>
        <a:xfrm>
          <a:off x="10953750" y="0"/>
          <a:ext cx="11502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GB" sz="1600">
              <a:solidFill>
                <a:srgbClr val="FF0000"/>
              </a:solidFill>
            </a:rPr>
            <a:t>Back to TOC</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439031</xdr:colOff>
      <xdr:row>1</xdr:row>
      <xdr:rowOff>402043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AFA07E91-2D68-FB44-9128-78C5F9EC513F}"/>
            </a:ext>
          </a:extLst>
        </xdr:cNvPr>
        <xdr:cNvSpPr txBox="1"/>
      </xdr:nvSpPr>
      <xdr:spPr>
        <a:xfrm>
          <a:off x="12496800" y="304800"/>
          <a:ext cx="1264531" cy="402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660400</xdr:colOff>
      <xdr:row>1</xdr:row>
      <xdr:rowOff>50800</xdr:rowOff>
    </xdr:from>
    <xdr:to>
      <xdr:col>15</xdr:col>
      <xdr:colOff>165100</xdr:colOff>
      <xdr:row>3</xdr:row>
      <xdr:rowOff>50800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57E9D081-1041-194D-B9B6-09CC8264C84E}"/>
            </a:ext>
          </a:extLst>
        </xdr:cNvPr>
        <xdr:cNvSpPr txBox="1"/>
      </xdr:nvSpPr>
      <xdr:spPr>
        <a:xfrm>
          <a:off x="16129000" y="254000"/>
          <a:ext cx="1257300" cy="393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FF0000"/>
              </a:solidFill>
            </a:rPr>
            <a:t>Back to TOC</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Petra Ziva" id="{B30A0B82-BBB5-5E45-AACC-125A10C40B7E}" userId="S::petra@labguide.io::90a19c30-b77e-4649-8d20-f216142e9798"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Asset ID,Asset Name,Asset Owner,Asset Type,Asset L" connectionId="1" xr16:uid="{1CDC6CDF-61FE-B74B-ACFC-2FA02AC8565E}"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Q1" dT="2025-03-10T14:10:41.60" personId="{B30A0B82-BBB5-5E45-AACC-125A10C40B7E}" id="{0004149D-410F-4F86-B2BB-3BDB4C64C0C4}">
    <text>Did the treatment work?</text>
  </threadedComment>
</ThreadedComments>
</file>

<file path=xl/threadedComments/threadedComment2.xml><?xml version="1.0" encoding="utf-8"?>
<ThreadedComments xmlns="http://schemas.microsoft.com/office/spreadsheetml/2018/threadedcomments" xmlns:x="http://schemas.openxmlformats.org/spreadsheetml/2006/main">
  <threadedComment ref="P2" dT="2025-04-22T15:58:08.34" personId="{B30A0B82-BBB5-5E45-AACC-125A10C40B7E}" id="{1CCB0FE1-4460-4FE9-9CB7-906CFF7CC4D0}">
    <text>system log, email, screenshot, file copy etc.</text>
  </threadedComment>
  <threadedComment ref="Q2" dT="2025-04-22T15:58:54.80" personId="{B30A0B82-BBB5-5E45-AACC-125A10C40B7E}" id="{AEA68841-C02A-447C-93BD-CC0782EC22C8}">
    <text>secure drive,, SharePoint, M365 Audit Logs etc.</text>
  </threadedComment>
  <threadedComment ref="R2" dT="2025-09-22T09:35:42.28" personId="{B30A0B82-BBB5-5E45-AACC-125A10C40B7E}" id="{34F72ACF-95DA-4D44-9083-19E1C6875C04}">
    <text>Who collected the evidence, when, and where stored. Include any transfers. Example: "Petra - 20/09/2025 - Sharepoint - Sent to Zorko 21/09/2025"</text>
  </threadedComment>
</ThreadedComments>
</file>

<file path=xl/threadedComments/threadedComment3.xml><?xml version="1.0" encoding="utf-8"?>
<ThreadedComments xmlns="http://schemas.microsoft.com/office/spreadsheetml/2018/threadedcomments" xmlns:x="http://schemas.openxmlformats.org/spreadsheetml/2006/main">
  <threadedComment ref="H1" dT="2025-05-20T09:45:55.38" personId="{B30A0B82-BBB5-5E45-AACC-125A10C40B7E}" id="{681DADFE-200D-419D-B4BA-D398579FD96C}">
    <text>quarterly</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5-03-26T14:42:03.01" personId="{B30A0B82-BBB5-5E45-AACC-125A10C40B7E}" id="{86D45655-D806-40C7-8CBB-843732636492}">
    <text>Generated by odoo (badge ID)</text>
  </threadedComment>
</ThreadedComments>
</file>

<file path=xl/threadedComments/threadedComment5.xml><?xml version="1.0" encoding="utf-8"?>
<ThreadedComments xmlns="http://schemas.microsoft.com/office/spreadsheetml/2018/threadedcomments" xmlns:x="http://schemas.openxmlformats.org/spreadsheetml/2006/main">
  <threadedComment ref="E1" dT="2025-03-27T15:36:55.20" personId="{B30A0B82-BBB5-5E45-AACC-125A10C40B7E}" id="{A7812890-F0A2-451B-97E9-41B96B22913C}">
    <text>how our company complies</text>
  </threadedComment>
  <threadedComment ref="H1" dT="2025-03-27T15:37:44.12" personId="{B30A0B82-BBB5-5E45-AACC-125A10C40B7E}" id="{2F9A4C5C-CA35-4DAC-91B3-D30BC54BF1F7}">
    <text>annually</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labguides.sharepoint.com/:x:/s/labguide/EYIjrVAAXG5FjswbZKXz6-cBYY2MZd4QdpfGyqKAUXz3dA?e=ZBSws8&amp;nav=MTVfezI2RjlEMDVFLThBOEYtNEUwRC05Qjk4LUQwQjM4RTVDQUMwRX0" TargetMode="External"/><Relationship Id="rId3" Type="http://schemas.openxmlformats.org/officeDocument/2006/relationships/hyperlink" Target="https://labguides.sharepoint.com/:x:/s/labguide/EYIjrVAAXG5FjswbZKXz6-cBYY2MZd4QdpfGyqKAUXz3dA?e=d1dYEE&amp;nav=MTVfe0EwMURGOENDLUE4RkQtMjI0NC1BNzk3LTkxOTFGQ0UwNTFFM30" TargetMode="External"/><Relationship Id="rId7" Type="http://schemas.openxmlformats.org/officeDocument/2006/relationships/hyperlink" Target="https://labguides.sharepoint.com/:x:/s/labguide/EYIjrVAAXG5FjswbZKXz6-cBYY2MZd4QdpfGyqKAUXz3dA?e=pywVwP&amp;nav=MTVfezkzM0Y5RDk1LUU2MDAtNDkwNi1BMzZGLUVGNTk3Q0ZEQjBDNX0" TargetMode="External"/><Relationship Id="rId2" Type="http://schemas.openxmlformats.org/officeDocument/2006/relationships/hyperlink" Target="https://labguides.sharepoint.com/:x:/s/labguide/EYIjrVAAXG5FjswbZKXz6-cBYY2MZd4QdpfGyqKAUXz3dA?e=USNRV8&amp;nav=MTVfe0EzNkQ0MjlDLUI1ODktNDIzQS1CRTQ2LTU4Qjg0NzlDQ0U0Nn0" TargetMode="External"/><Relationship Id="rId1" Type="http://schemas.openxmlformats.org/officeDocument/2006/relationships/hyperlink" Target="https://labguides.sharepoint.com/:x:/s/labguide/EYIjrVAAXG5FjswbZKXz6-cBYY2MZd4QdpfGyqKAUXz3dA?e=xeqrH5&amp;nav=MTVfezM1QjQ3QkJDLUE4N0ItNDM0RC1CNTdBLTNBRkY0OUFBRTA2OH0" TargetMode="External"/><Relationship Id="rId6" Type="http://schemas.openxmlformats.org/officeDocument/2006/relationships/hyperlink" Target="https://labguides.sharepoint.com/:x:/s/labguide/EYIjrVAAXG5FjswbZKXz6-cBYY2MZd4QdpfGyqKAUXz3dA?e=jecW89&amp;nav=MTVfezU0QkVFRjhDLUI4NTMtQkM0QS1CRkRELTFCRTY2NzI3M0REQn0" TargetMode="External"/><Relationship Id="rId5" Type="http://schemas.openxmlformats.org/officeDocument/2006/relationships/hyperlink" Target="https://labguides.sharepoint.com/:x:/s/labguide/EYIjrVAAXG5FjswbZKXz6-cBYY2MZd4QdpfGyqKAUXz3dA?e=FrTT9R&amp;nav=MTVfezgzM0RDQ0ZFLTQ2MUEtNDc0QS1BMUEyLUE3MEJBNEIwMjFDMH0" TargetMode="External"/><Relationship Id="rId10" Type="http://schemas.openxmlformats.org/officeDocument/2006/relationships/drawing" Target="../drawings/drawing1.xml"/><Relationship Id="rId4" Type="http://schemas.openxmlformats.org/officeDocument/2006/relationships/hyperlink" Target="https://labguides.sharepoint.com/:x:/s/labguide/EYIjrVAAXG5FjswbZKXz6-cBYY2MZd4QdpfGyqKAUXz3dA?e=VFmQMa&amp;nav=MTVfe0FFOUQ0OTM4LUYyOEMtNEY5NS1BNTAxLTBCQjhGQkUxMENGM30" TargetMode="External"/><Relationship Id="rId9" Type="http://schemas.openxmlformats.org/officeDocument/2006/relationships/hyperlink" Target="https://labguides.sharepoint.com/:x:/s/labguide/EYIjrVAAXG5FjswbZKXz6-cBYY2MZd4QdpfGyqKAUXz3dA?e=YbThcU&amp;nav=MTVfezIzREZCRTg2LTEwOEEtNDBDNS05Mzg0LUZDNTlCRjdGODg2QX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3" Type="http://schemas.openxmlformats.org/officeDocument/2006/relationships/hyperlink" Target="https://labguides.sharepoint.com/:x:/s/labguide/EYIjrVAAXG5FjswbZKXz6-cBYY2MZd4QdpfGyqKAUXz3dA?e=FgxQGO&amp;nav=MTVfezAwMDAwMDAwLTAwMDEtMDAwMC0wNzAwLTAwMDAwMDAwMDAwMH0" TargetMode="External"/><Relationship Id="rId18" Type="http://schemas.openxmlformats.org/officeDocument/2006/relationships/hyperlink" Target="https://labguides.sharepoint.com/:x:/s/labguide/EYIjrVAAXG5FjswbZKXz6-cBYY2MZd4QdpfGyqKAUXz3dA?e=XQnJw0&amp;nav=MTVfe0IxQzUxN0EyLTY5NjUtQjQ0Ny05QUZELUQxRkIxNkNBNTkyOH0" TargetMode="External"/><Relationship Id="rId26" Type="http://schemas.openxmlformats.org/officeDocument/2006/relationships/hyperlink" Target="https://labguides.sharepoint.com/:x:/s/labguide/EYIjrVAAXG5FjswbZKXz6-cBYY2MZd4QdpfGyqKAUXz3dA?e=FgxQGO&amp;nav=MTVfezAwMDAwMDAwLTAwMDEtMDAwMC0wNzAwLTAwMDAwMDAwMDAwMH0" TargetMode="External"/><Relationship Id="rId39" Type="http://schemas.openxmlformats.org/officeDocument/2006/relationships/hyperlink" Target="https://labguides.sharepoint.com/:x:/s/labguide/IQCCI61QAFxuRY7MG2Sl8-vnAWGNjGXeEHaXxsqigFF893Q?e=O0ViOL&amp;nav=MTVfezM1QjQ3QkJDLUE4N0ItNDM0RC1CNTdBLTNBRkY0OUFBRTA2OH0" TargetMode="External"/><Relationship Id="rId21" Type="http://schemas.openxmlformats.org/officeDocument/2006/relationships/hyperlink" Target="https://labguides.sharepoint.com/:x:/s/labguide/EYIjrVAAXG5FjswbZKXz6-cBYY2MZd4QdpfGyqKAUXz3dA?e=cJlkXy&amp;nav=MTVfe0Q3Q0JDMjMxLTlBNjMtMEI0MS04NTRGLUQ3QTVDNjJDMTdBMX0" TargetMode="External"/><Relationship Id="rId34" Type="http://schemas.openxmlformats.org/officeDocument/2006/relationships/hyperlink" Target="https://labguides.sharepoint.com/:x:/s/labguide/IQCCI61QAFxuRY7MG2Sl8-vnAWGNjGXeEHaXxsqigFF893Q?e=4S1fRd&amp;nav=MTVfe0FDQjYwODQ5LUI2MUYtNDM0OC1CMzY2LUYyOUE3MEE2MjczRn0" TargetMode="External"/><Relationship Id="rId42" Type="http://schemas.openxmlformats.org/officeDocument/2006/relationships/hyperlink" Target="https://labguides.sharepoint.com/:x:/s/labguide/IQCCI61QAFxuRY7MG2Sl8-vnAWGNjGXeEHaXxsqigFF893Q?e=9KUw71&amp;nav=MTVfezIzREZCRTg2LTEwOEEtNDBDNS05Mzg0LUZDNTlCRjdGODg2QX0" TargetMode="External"/><Relationship Id="rId7" Type="http://schemas.openxmlformats.org/officeDocument/2006/relationships/hyperlink" Target="https://labguides.sharepoint.com/:x:/s/labguide/EYIjrVAAXG5FjswbZKXz6-cBYY2MZd4QdpfGyqKAUXz3dA?e=e8riSa&amp;nav=MTVfezAwMDAwMDAwLTAwMDEtMDAwMC0wNTAwLTAwMDAwMDAwMDAwMH0" TargetMode="External"/><Relationship Id="rId2" Type="http://schemas.openxmlformats.org/officeDocument/2006/relationships/hyperlink" Target="https://labguides.sharepoint.com/:x:/s/labguide/EYIjrVAAXG5FjswbZKXz6-cBYY2MZd4QdpfGyqKAUXz3dA?e=ZAyBw7&amp;nav=MTVfezgzM0RDQ0ZFLTQ2MUEtNDc0QS1BMUEyLUE3MEJBNEIwMjFDMH0" TargetMode="External"/><Relationship Id="rId16" Type="http://schemas.openxmlformats.org/officeDocument/2006/relationships/hyperlink" Target="https://labguides.sharepoint.com/:x:/s/labguide/EYIjrVAAXG5FjswbZKXz6-cBYY2MZd4QdpfGyqKAUXz3dA?e=EMsDDx&amp;nav=MTVfe0Y5NjE3QzM2LTZBMzctMEI0RC1CQUQyLTcwMERGQjZEMDE2MH0" TargetMode="External"/><Relationship Id="rId20" Type="http://schemas.openxmlformats.org/officeDocument/2006/relationships/hyperlink" Target="https://labguides.sharepoint.com/:x:/s/labguide/EYIjrVAAXG5FjswbZKXz6-cBYY2MZd4QdpfGyqKAUXz3dA?e=AdtmMF&amp;nav=MTVfezkzM0Y5RDk1LUU2MDAtNDkwNi1BMzZGLUVGNTk3Q0ZEQjBDNX0" TargetMode="External"/><Relationship Id="rId29" Type="http://schemas.openxmlformats.org/officeDocument/2006/relationships/hyperlink" Target="https://labguides.sharepoint.com/:x:/s/labguide/EYIjrVAAXG5FjswbZKXz6-cBYY2MZd4QdpfGyqKAUXz3dA?e=EMsDDx&amp;nav=MTVfe0Y5NjE3QzM2LTZBMzctMEI0RC1CQUQyLTcwMERGQjZEMDE2MH0" TargetMode="External"/><Relationship Id="rId41" Type="http://schemas.openxmlformats.org/officeDocument/2006/relationships/hyperlink" Target="https://labguides.sharepoint.com/:x:/s/labguide/IQCCI61QAFxuRY7MG2Sl8-vnAWGNjGXeEHaXxsqigFF893Q?e=laHWvJ&amp;nav=MTVfe0Q3Q0JDMjMxLTlBNjMtMEI0MS04NTRGLUQ3QTVDNjJDMTdBMX0" TargetMode="External"/><Relationship Id="rId1" Type="http://schemas.openxmlformats.org/officeDocument/2006/relationships/hyperlink" Target="https://labguides.sharepoint.com/:x:/s/labguide/EYIjrVAAXG5FjswbZKXz6-cBYY2MZd4QdpfGyqKAUXz3dA?e=m4huce&amp;nav=MTVfezAwMDAwMDAwLTAwMDEtMDAwMC0wNjAwLTAwMDAwMDAwMDAwMH0" TargetMode="External"/><Relationship Id="rId6" Type="http://schemas.openxmlformats.org/officeDocument/2006/relationships/hyperlink" Target="https://labguides.sharepoint.com/:x:/s/labguide/EYIjrVAAXG5FjswbZKXz6-cBYY2MZd4QdpfGyqKAUXz3dA?e=ZAyBw7&amp;nav=MTVfezgzM0RDQ0ZFLTQ2MUEtNDc0QS1BMUEyLUE3MEJBNEIwMjFDMH0" TargetMode="External"/><Relationship Id="rId11" Type="http://schemas.openxmlformats.org/officeDocument/2006/relationships/hyperlink" Target="https://labguides.sharepoint.com/:x:/s/labguide/EYIjrVAAXG5FjswbZKXz6-cBYY2MZd4QdpfGyqKAUXz3dA?e=dmKd6F&amp;nav=MTVfe0FFOUQ0OTM4LUYyOEMtNEY5NS1BNTAxLTBCQjhGQkUxMENGM30" TargetMode="External"/><Relationship Id="rId24" Type="http://schemas.openxmlformats.org/officeDocument/2006/relationships/hyperlink" Target="https://labguides.sharepoint.com/:x:/s/labguide/EYIjrVAAXG5FjswbZKXz6-cBYY2MZd4QdpfGyqKAUXz3dA?e=3dqdUE&amp;nav=MTVfezcxNkY0NEFELTg0ODctMzY0My1CRUYzLUI5NzYxNDRFOUE5MX0" TargetMode="External"/><Relationship Id="rId32" Type="http://schemas.openxmlformats.org/officeDocument/2006/relationships/hyperlink" Target="https://labguides.sharepoint.com/:x:/s/labguide/IQCCI61QAFxuRY7MG2Sl8-vnAWGNjGXeEHaXxsqigFF893Q?e=HEro7h&amp;nav=MTVfezAwMDAwMDAwLTAwMDEtMDAwMC0wNTAwLTAwMDAwMDAwMDAwMH0" TargetMode="External"/><Relationship Id="rId37" Type="http://schemas.openxmlformats.org/officeDocument/2006/relationships/hyperlink" Target="https://labguides.sharepoint.com/:x:/s/labguide/IQCCI61QAFxuRY7MG2Sl8-vnAWGNjGXeEHaXxsqigFF893Q?e=J8xEIi&amp;nav=MTVfezAwMDAwMDAwLTAwMDEtMDAwMC0wMzAwLTAwMDAwMDAwMDAwMH0" TargetMode="External"/><Relationship Id="rId40" Type="http://schemas.openxmlformats.org/officeDocument/2006/relationships/hyperlink" Target="https://labguides.sharepoint.com/:x:/s/labguide/IQCCI61QAFxuRY7MG2Sl8-vnAWGNjGXeEHaXxsqigFF893Q?e=wh6rAG&amp;nav=MTVfezI2RjlEMDVFLThBOEYtNEUwRC05Qjk4LUQwQjM4RTVDQUMwRX0" TargetMode="External"/><Relationship Id="rId5" Type="http://schemas.openxmlformats.org/officeDocument/2006/relationships/hyperlink" Target="https://labguides.sharepoint.com/:x:/s/labguide/EYIjrVAAXG5FjswbZKXz6-cBYY2MZd4QdpfGyqKAUXz3dA?e=ZAyBw7&amp;nav=MTVfezgzM0RDQ0ZFLTQ2MUEtNDc0QS1BMUEyLUE3MEJBNEIwMjFDMH0" TargetMode="External"/><Relationship Id="rId15" Type="http://schemas.openxmlformats.org/officeDocument/2006/relationships/hyperlink" Target="https://labguides.sharepoint.com/:x:/s/labguide/EYIjrVAAXG5FjswbZKXz6-cBYY2MZd4QdpfGyqKAUXz3dA?e=Fispa2&amp;nav=MTVfe0U1RThCNzkzLTE1ODMtNjU0Ri05RDJCLTY2QTMwQTc2NTQxQX0" TargetMode="External"/><Relationship Id="rId23" Type="http://schemas.openxmlformats.org/officeDocument/2006/relationships/hyperlink" Target="https://labguides.sharepoint.com/:x:/s/labguide/EYIjrVAAXG5FjswbZKXz6-cBYY2MZd4QdpfGyqKAUXz3dA?e=xJ4fa6&amp;nav=MTVfe0NFNDE2REE1LUE3REItNDgzRC1CM0IyLUVCRTA0OEJFQTUzRn0" TargetMode="External"/><Relationship Id="rId28" Type="http://schemas.openxmlformats.org/officeDocument/2006/relationships/hyperlink" Target="https://labguides.sharepoint.com/:x:/s/labguide/EYIjrVAAXG5FjswbZKXz6-cBYY2MZd4QdpfGyqKAUXz3dA?e=YbThcU&amp;nav=MTVfezIzREZCRTg2LTEwOEEtNDBDNS05Mzg0LUZDNTlCRjdGODg2QX0" TargetMode="External"/><Relationship Id="rId36" Type="http://schemas.openxmlformats.org/officeDocument/2006/relationships/hyperlink" Target="https://labguides.sharepoint.com/:x:/s/labguide/IQCCI61QAFxuRY7MG2Sl8-vnAWGNjGXeEHaXxsqigFF893Q?e=J8xEIi&amp;nav=MTVfezAwMDAwMDAwLTAwMDEtMDAwMC0wMzAwLTAwMDAwMDAwMDAwMH0" TargetMode="External"/><Relationship Id="rId10" Type="http://schemas.openxmlformats.org/officeDocument/2006/relationships/hyperlink" Target="https://labguides.sharepoint.com/:x:/s/labguide/EYIjrVAAXG5FjswbZKXz6-cBYY2MZd4QdpfGyqKAUXz3dA?e=dmKd6F&amp;nav=MTVfe0FFOUQ0OTM4LUYyOEMtNEY5NS1BNTAxLTBCQjhGQkUxMENGM30" TargetMode="External"/><Relationship Id="rId19" Type="http://schemas.openxmlformats.org/officeDocument/2006/relationships/hyperlink" Target="https://labguides.sharepoint.com/:x:/s/labguide/EYIjrVAAXG5FjswbZKXz6-cBYY2MZd4QdpfGyqKAUXz3dA?e=AdtmMF&amp;nav=MTVfezkzM0Y5RDk1LUU2MDAtNDkwNi1BMzZGLUVGNTk3Q0ZEQjBDNX0" TargetMode="External"/><Relationship Id="rId31" Type="http://schemas.openxmlformats.org/officeDocument/2006/relationships/hyperlink" Target="https://labguides.sharepoint.com/:x:/s/labguide/EYIjrVAAXG5FjswbZKXz6-cBYY2MZd4QdpfGyqKAUXz3dA?e=iNnZFC&amp;nav=MTVfe0FDQjYwODQ5LUI2MUYtNDM0OC1CMzY2LUYyOUE3MEE2MjczRn0" TargetMode="External"/><Relationship Id="rId44" Type="http://schemas.openxmlformats.org/officeDocument/2006/relationships/drawing" Target="../drawings/drawing4.xml"/><Relationship Id="rId4" Type="http://schemas.openxmlformats.org/officeDocument/2006/relationships/hyperlink" Target="https://labguides.sharepoint.com/:x:/s/labguide/EYIjrVAAXG5FjswbZKXz6-cBYY2MZd4QdpfGyqKAUXz3dA?e=ZAyBw7&amp;nav=MTVfezgzM0RDQ0ZFLTQ2MUEtNDc0QS1BMUEyLUE3MEJBNEIwMjFDMH0" TargetMode="External"/><Relationship Id="rId9" Type="http://schemas.openxmlformats.org/officeDocument/2006/relationships/hyperlink" Target="https://labguides.sharepoint.com/:x:/s/labguide/EYIjrVAAXG5FjswbZKXz6-cBYY2MZd4QdpfGyqKAUXz3dA?e=dmKd6F&amp;nav=MTVfe0FFOUQ0OTM4LUYyOEMtNEY5NS1BNTAxLTBCQjhGQkUxMENGM30" TargetMode="External"/><Relationship Id="rId14" Type="http://schemas.openxmlformats.org/officeDocument/2006/relationships/hyperlink" Target="https://labguides.sharepoint.com/:x:/s/labguide/EYIjrVAAXG5FjswbZKXz6-cBYY2MZd4QdpfGyqKAUXz3dA?e=FgxQGO&amp;nav=MTVfezAwMDAwMDAwLTAwMDEtMDAwMC0wNzAwLTAwMDAwMDAwMDAwMH0" TargetMode="External"/><Relationship Id="rId22" Type="http://schemas.openxmlformats.org/officeDocument/2006/relationships/hyperlink" Target="https://labguides.sharepoint.com/:x:/s/labguide/EYIjrVAAXG5FjswbZKXz6-cBYY2MZd4QdpfGyqKAUXz3dA?e=I4eg9p&amp;nav=MTVfezI2RjlEMDVFLThBOEYtNEUwRC05Qjk4LUQwQjM4RTVDQUMwRX0" TargetMode="External"/><Relationship Id="rId27" Type="http://schemas.openxmlformats.org/officeDocument/2006/relationships/hyperlink" Target="https://www.enisa.europa.eu/rss-feeds-discontinued-new-subscription-mechanism-coming-soon" TargetMode="External"/><Relationship Id="rId30" Type="http://schemas.openxmlformats.org/officeDocument/2006/relationships/hyperlink" Target="https://labguides.sharepoint.com/:x:/s/labguide/EYIjrVAAXG5FjswbZKXz6-cBYY2MZd4QdpfGyqKAUXz3dA?e=ZAyBw7&amp;nav=MTVfezgzM0RDQ0ZFLTQ2MUEtNDc0QS1BMUEyLUE3MEJBNEIwMjFDMH0" TargetMode="External"/><Relationship Id="rId35" Type="http://schemas.openxmlformats.org/officeDocument/2006/relationships/hyperlink" Target="https://labguides.sharepoint.com/:x:/s/labguide/IQCCI61QAFxuRY7MG2Sl8-vnAWGNjGXeEHaXxsqigFF893Q?e=4S1fRd&amp;nav=MTVfe0FDQjYwODQ5LUI2MUYtNDM0OC1CMzY2LUYyOUE3MEE2MjczRn0" TargetMode="External"/><Relationship Id="rId43" Type="http://schemas.openxmlformats.org/officeDocument/2006/relationships/hyperlink" Target="https://labguides.sharepoint.com/:x:/s/labguide/IQCCI61QAFxuRY7MG2Sl8-vnAWGNjGXeEHaXxsqigFF893Q?e=ujfIRi&amp;nav=MTVfezVCQjcxODhELTAyQTktRTU0Ny1CNjQ3LTE1MzdFNUFFNDdBQ30" TargetMode="External"/><Relationship Id="rId8" Type="http://schemas.openxmlformats.org/officeDocument/2006/relationships/hyperlink" Target="https://labguides.sharepoint.com/:x:/s/labguide/EYIjrVAAXG5FjswbZKXz6-cBYY2MZd4QdpfGyqKAUXz3dA?e=dmKd6F&amp;nav=MTVfe0FFOUQ0OTM4LUYyOEMtNEY5NS1BNTAxLTBCQjhGQkUxMENGM30" TargetMode="External"/><Relationship Id="rId3" Type="http://schemas.openxmlformats.org/officeDocument/2006/relationships/hyperlink" Target="https://labguides.sharepoint.com/:x:/s/labguide/EYIjrVAAXG5FjswbZKXz6-cBYY2MZd4QdpfGyqKAUXz3dA?e=ZAyBw7&amp;nav=MTVfezgzM0RDQ0ZFLTQ2MUEtNDc0QS1BMUEyLUE3MEJBNEIwMjFDMH0" TargetMode="External"/><Relationship Id="rId12" Type="http://schemas.openxmlformats.org/officeDocument/2006/relationships/hyperlink" Target="https://labguides.sharepoint.com/:x:/s/labguide/EYIjrVAAXG5FjswbZKXz6-cBYY2MZd4QdpfGyqKAUXz3dA?e=FgxQGO&amp;nav=MTVfezAwMDAwMDAwLTAwMDEtMDAwMC0wNzAwLTAwMDAwMDAwMDAwMH0" TargetMode="External"/><Relationship Id="rId17" Type="http://schemas.openxmlformats.org/officeDocument/2006/relationships/hyperlink" Target="https://labguides.sharepoint.com/:x:/s/labguide/EYIjrVAAXG5FjswbZKXz6-cBYY2MZd4QdpfGyqKAUXz3dA?e=UQOtdn&amp;nav=MTVfe0QzRDk2MDcxLTMyMEYtQjg0RC05RUE4LTM5ODVBRTkzREE5Mn0" TargetMode="External"/><Relationship Id="rId25" Type="http://schemas.openxmlformats.org/officeDocument/2006/relationships/hyperlink" Target="https://labguides.sharepoint.com/:x:/s/labguide/EaOUrdpjW6lAi1zuOuoIF1sB19rPEI6FkTetYObBD2tQtA?e=Tnrsoo&amp;nav=MTVfe0VEQjYyQjRFLTM1MzctNDg5MC05OUYxLTYzRTZCQ0JBNEMyQn0" TargetMode="External"/><Relationship Id="rId33" Type="http://schemas.openxmlformats.org/officeDocument/2006/relationships/hyperlink" Target="https://labguides.sharepoint.com/:x:/s/labguide/IQCCI61QAFxuRY7MG2Sl8-vnAWGNjGXeEHaXxsqigFF893Q?e=4S1fRd&amp;nav=MTVfe0FDQjYwODQ5LUI2MUYtNDM0OC1CMzY2LUYyOUE3MEE2MjczRn0" TargetMode="External"/><Relationship Id="rId38" Type="http://schemas.openxmlformats.org/officeDocument/2006/relationships/hyperlink" Target="https://labguides.sharepoint.com/:x:/s/labguide/IQCCI61QAFxuRY7MG2Sl8-vnAWGNjGXeEHaXxsqigFF893Q?e=J8xEIi&amp;nav=MTVfezAwMDAwMDAwLTAwMDEtMDAwMC0wMzAwLTAwMDAwMDAwMDAwMH0"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17" Type="http://schemas.openxmlformats.org/officeDocument/2006/relationships/hyperlink" Target="../../../../../../../../../../:w:/s/labguide/Ef7zPXEuSdlJhxI92JXyJxgBowgQEHyU0Fs_f4qd-bx54w?e=YVbd7j" TargetMode="External"/><Relationship Id="rId21" Type="http://schemas.openxmlformats.org/officeDocument/2006/relationships/hyperlink" Target="../../../../../../../../../../:w:/r/sites/labguide/_layouts/15/Doc.aspx?sourcedoc=%7BE12A2F5E-46E2-46B4-BBB0-453200E2FAD1%7D&amp;file=Supplier%20Vendor%20Security%20Policy.docx&amp;action=default&amp;mobileredirect=true" TargetMode="External"/><Relationship Id="rId42" Type="http://schemas.openxmlformats.org/officeDocument/2006/relationships/hyperlink" Target="../../../../../../../../../../:x:/s/labguide/EYIjrVAAXG5FjswbZKXz6-cBYY2MZd4QdpfGyqKAUXz3dA?e=SsaQAA&amp;nav=MTVfezAwMDAwMDAwLTAwMDEtMDAwMC0wNDAwLTAwMDAwMDAwMDAwMH0" TargetMode="External"/><Relationship Id="rId63"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84"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38" Type="http://schemas.openxmlformats.org/officeDocument/2006/relationships/hyperlink" Target="https://labguides.sharepoint.com/:w:/s/labguide/Ed7TSYYoKzpNsZnq1GinQsEBd9lk_8P9vIueodJLksAL8A?e=LsbQtQ" TargetMode="External"/><Relationship Id="rId107" Type="http://schemas.openxmlformats.org/officeDocument/2006/relationships/hyperlink" Target="../../../../../../../../../../:w:/r/sites/labguide/_layouts/15/Doc.aspx?sourcedoc=%7B8CD10703-2AF0-45FA-928B-7F3536557E7F%7D&amp;file=Backup%20and%20Recovery%20Plan%20and%20Process.docx&amp;action=default&amp;mobileredirect=true" TargetMode="External"/><Relationship Id="rId11" Type="http://schemas.openxmlformats.org/officeDocument/2006/relationships/hyperlink" Target="../../../../../../../../../../:w:/r/sites/labguide/_layouts/15/Doc.aspx?sourcedoc=%7B65ECFD91-CE52-4E0D-B1AE-C384FBC4395B%7D&amp;file=Confidentiality%20and%20NDA%20Policy.docx&amp;action=default&amp;mobileredirect=true" TargetMode="External"/><Relationship Id="rId32" Type="http://schemas.openxmlformats.org/officeDocument/2006/relationships/hyperlink" Target="../../../../../../../../../../:w:/s/labguide/Ef7zPXEuSdlJhxI92JXyJxgBowgQEHyU0Fs_f4qd-bx54w?e=YVbd7j" TargetMode="External"/><Relationship Id="rId53"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74" Type="http://schemas.openxmlformats.org/officeDocument/2006/relationships/hyperlink" Target="../../../../../../../../../../:w:/s/labguide/Eb9h3wSmBhJKtoRbsGPpADUB64llkSZ_Dpo5bK2BQwk5kQ?e=YfNhn5" TargetMode="External"/><Relationship Id="rId128" Type="http://schemas.openxmlformats.org/officeDocument/2006/relationships/hyperlink" Target="../../../../../../../../../../:w:/r/sites/labguide/_layouts/15/Doc.aspx?sourcedoc=%7B6158CA9C-0AE8-4D32-89D3-79AC6595549A%7D&amp;file=Legal%20Framework%20Mapping.docx&amp;action=default&amp;mobileredirect=true" TargetMode="External"/><Relationship Id="rId149" Type="http://schemas.openxmlformats.org/officeDocument/2006/relationships/drawing" Target="../drawings/drawing9.xml"/><Relationship Id="rId5"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95"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22" Type="http://schemas.openxmlformats.org/officeDocument/2006/relationships/hyperlink" Target="../../../../../../../../../../:w:/r/sites/labguide/_layouts/15/Doc.aspx?sourcedoc=%7BCBB57327-9903-438B-8DB4-374ABBDB61A0%7D&amp;file=Supplier%20%26%20Vendor%20Security%20Process.docx&amp;action=default&amp;mobileredirect=true" TargetMode="External"/><Relationship Id="rId27" Type="http://schemas.openxmlformats.org/officeDocument/2006/relationships/hyperlink" Target="../../../../../../../../../../:w:/s/labguide/Ef7zPXEuSdlJhxI92JXyJxgBowgQEHyU0Fs_f4qd-bx54w?e=YVbd7j" TargetMode="External"/><Relationship Id="rId43" Type="http://schemas.openxmlformats.org/officeDocument/2006/relationships/hyperlink" Target="../../../../../../../../../../:x:/s/labguide/EYIjrVAAXG5FjswbZKXz6-cBYY2MZd4QdpfGyqKAUXz3dA?e=FBGYJy&amp;nav=MTVfezkzM0Y5RDk1LUU2MDAtNDkwNi1BMzZGLUVGNTk3Q0ZEQjBDNX0" TargetMode="External"/><Relationship Id="rId48" Type="http://schemas.openxmlformats.org/officeDocument/2006/relationships/hyperlink" Target="../../../../../../../../../../:x:/s/labguide/EYIjrVAAXG5FjswbZKXz6-cBYY2MZd4QdpfGyqKAUXz3dA?e=pxKDKN&amp;nav=MTVfezM1QjQ3QkJDLUE4N0ItNDM0RC1CNTdBLTNBRkY0OUFBRTA2OH0" TargetMode="External"/><Relationship Id="rId64"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69"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13" Type="http://schemas.openxmlformats.org/officeDocument/2006/relationships/hyperlink" Target="../../../../../../../../../../:w:/r/sites/labguide/_layouts/15/Doc.aspx?sourcedoc=%7B43DC14D0-C2CD-4BCD-84FF-1327B53CFEA2%7D&amp;file=New%20Employee%20Onboarding%20Guide%20Template.docx&amp;action=default&amp;mobileredirect=true" TargetMode="External"/><Relationship Id="rId118" Type="http://schemas.openxmlformats.org/officeDocument/2006/relationships/hyperlink" Target="../../../../../../../../../../:w:/s/labguide/Ef7zPXEuSdlJhxI92JXyJxgBowgQEHyU0Fs_f4qd-bx54w?e=YVbd7j" TargetMode="External"/><Relationship Id="rId134" Type="http://schemas.openxmlformats.org/officeDocument/2006/relationships/hyperlink" Target="https://labguides.sharepoint.com/:x:/s/labguide/EaOUrdpjW6lAi1zuOuoIF1sB19rPEI6FkTetYObBD2tQtA?e=M3ZgwE&amp;nav=MTVfezAwMDAwMDAwLTAwMDEtMDAwMC0wMDAwLTAwMDAwMDAwMDAwMH0" TargetMode="External"/><Relationship Id="rId139" Type="http://schemas.openxmlformats.org/officeDocument/2006/relationships/hyperlink" Target="https://labguides.sharepoint.com/:w:/s/labguide/ESpyZgbBreFIgsKTRXTG0PkBGa663l0GGSnRLCkNdR-rLg?e=m9gQNR" TargetMode="External"/><Relationship Id="rId80" Type="http://schemas.openxmlformats.org/officeDocument/2006/relationships/hyperlink" Target="../../../../../../../../../../:w:/s/labguide/EY0hGFBCo9JBmwR-y3WVDjUBuOQMJNuv_3WpHSprbLU4RA?e=o2fXre" TargetMode="External"/><Relationship Id="rId85"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2" Type="http://schemas.openxmlformats.org/officeDocument/2006/relationships/hyperlink" Target="../../../../../../../../../../:w:/r/sites/labguide/_layouts/15/Doc.aspx?sourcedoc=%7B760AE091-83B5-4EA5-BEAF-EA0DEAE52B22%7D&amp;file=Access%20Control%20Policy.docx&amp;action=default&amp;mobileredirect=true" TargetMode="External"/><Relationship Id="rId17" Type="http://schemas.openxmlformats.org/officeDocument/2006/relationships/hyperlink" Target="../../../../../../../../../../:w:/r/sites/labguide/_layouts/15/Doc.aspx?sourcedoc=%7BE12A2F5E-46E2-46B4-BBB0-453200E2FAD1%7D&amp;file=Supplier%20Vendor%20Security%20Policy.docx&amp;action=default&amp;mobileredirect=true" TargetMode="External"/><Relationship Id="rId33" Type="http://schemas.openxmlformats.org/officeDocument/2006/relationships/hyperlink" Target="../../../../../../../../../../:w:/s/labguide/Ef7zPXEuSdlJhxI92JXyJxgBowgQEHyU0Fs_f4qd-bx54w?e=YVbd7j" TargetMode="External"/><Relationship Id="rId38"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59" Type="http://schemas.openxmlformats.org/officeDocument/2006/relationships/hyperlink" Target="../../../../../../../../../../:w:/r/sites/labguide/_layouts/15/Doc.aspx?sourcedoc=%7B760AE091-83B5-4EA5-BEAF-EA0DEAE52B22%7D&amp;file=Access%20Control%20Policy.docx&amp;action=default&amp;mobileredirect=true" TargetMode="External"/><Relationship Id="rId103" Type="http://schemas.openxmlformats.org/officeDocument/2006/relationships/hyperlink" Target="../../../../../../../../../../:x:/s/labguide/EYIjrVAAXG5FjswbZKXz6-cBYY2MZd4QdpfGyqKAUXz3dA?e=fMnq5H&amp;nav=MTVfezAwMDAwMDAwLTAwMDEtMDAwMC0wNTAwLTAwMDAwMDAwMDAwMH0" TargetMode="External"/><Relationship Id="rId108" Type="http://schemas.openxmlformats.org/officeDocument/2006/relationships/hyperlink" Target="../../../../../../../../../../:w:/r/sites/labguide/_layouts/15/Doc.aspx?sourcedoc=%7BD868EFE6-9DE3-4DAC-A18E-DF8482C2F03F%7D&amp;file=Business%20Continuity%20and%20Disruption%20Response%20Plan.docx&amp;action=default&amp;mobileredirect=true" TargetMode="External"/><Relationship Id="rId124"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29"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54" Type="http://schemas.openxmlformats.org/officeDocument/2006/relationships/hyperlink" Target="../../../../../../../../../../:x:/r/sites/labguide/_layouts/15/Doc.aspx?sourcedoc=%7B5CE7DA7E-F7D0-4243-BAB3-37AADF946E90%7D&amp;file=Third%20Party%20Questionaire.xlsx&amp;action=default&amp;mobileredirect=true" TargetMode="External"/><Relationship Id="rId70" Type="http://schemas.openxmlformats.org/officeDocument/2006/relationships/hyperlink" Target="../../../../../../../../../../:x:/s/labguide/EYIjrVAAXG5FjswbZKXz6-cBYY2MZd4QdpfGyqKAUXz3dA?e=SB5oKQ&amp;nav=MTVfezAwMDAwMDAwLTAwMDEtMDAwMC0wNjAwLTAwMDAwMDAwMDAwMH0" TargetMode="External"/><Relationship Id="rId75" Type="http://schemas.openxmlformats.org/officeDocument/2006/relationships/hyperlink" Target="../../../../../../../../../../:w:/r/sites/labguide/_layouts/15/Doc.aspx?sourcedoc=%7B8CD10703-2AF0-45FA-928B-7F3536557E7F%7D&amp;file=Backup%20and%20Recovery%20Plan%20and%20Process.docx&amp;action=default&amp;mobileredirect=true" TargetMode="External"/><Relationship Id="rId91" Type="http://schemas.openxmlformats.org/officeDocument/2006/relationships/hyperlink" Target="../../../../../../../../../../:x:/s/labguide/EYIjrVAAXG5FjswbZKXz6-cBYY2MZd4QdpfGyqKAUXz3dA?e=3VNzCr&amp;nav=MTVfezAwMDAwMDAwLTAwMDEtMDAwMC0wMDAwLTAwMDAwMDAwMDAwMH0" TargetMode="External"/><Relationship Id="rId96" Type="http://schemas.openxmlformats.org/officeDocument/2006/relationships/hyperlink" Target="../../../../../../../../../../:w:/r/sites/labguide/_layouts/15/Doc.aspx?sourcedoc=%7BE12A2F5E-46E2-46B4-BBB0-453200E2FAD1%7D&amp;file=Supplier%20Vendor%20Security%20Policy.docx&amp;action=default&amp;mobileredirect=true" TargetMode="External"/><Relationship Id="rId140" Type="http://schemas.openxmlformats.org/officeDocument/2006/relationships/hyperlink" Target="https://labguides.sharepoint.com/:w:/s/labguide/Ed7TSYYoKzpNsZnq1GinQsEBd9lk_8P9vIueodJLksAL8A?e=LsbQtQ" TargetMode="External"/><Relationship Id="rId145" Type="http://schemas.openxmlformats.org/officeDocument/2006/relationships/hyperlink" Target="../../../../../../../../../../:x:/s/labguide/EYIjrVAAXG5FjswbZKXz6-cBYY2MZd4QdpfGyqKAUXz3dA?e=SsaQAA&amp;nav=MTVfezAwMDAwMDAwLTAwMDEtMDAwMC0wNDAwLTAwMDAwMDAwMDAwMH0" TargetMode="External"/><Relationship Id="rId1" Type="http://schemas.openxmlformats.org/officeDocument/2006/relationships/hyperlink" Target="../../../../../../../../../../:w:/s/labguide/EZHgCna1g6VOvq_qDerlKyIBYk2G-EvcomGO7A_Y3SV5eA?e=RKnShd" TargetMode="External"/><Relationship Id="rId6"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23" Type="http://schemas.openxmlformats.org/officeDocument/2006/relationships/hyperlink" Target="../../../../../../../../../../:x:/s/labguide/ETYphs-nmDFGvUrZO9SSdUUBXH2mghgjuwXY9WH7Klya2Q?e=c6hPmU" TargetMode="External"/><Relationship Id="rId28" Type="http://schemas.openxmlformats.org/officeDocument/2006/relationships/hyperlink" Target="../../../../../../../../../../:w:/r/sites/labguide/_layouts/15/Doc.aspx?sourcedoc=%7BB3459A50-17A0-4FB4-A861-5C191F2BCC25%7D&amp;file=Access%20Management%20Process.docx&amp;action=default&amp;mobileredirect=true" TargetMode="External"/><Relationship Id="rId49" Type="http://schemas.openxmlformats.org/officeDocument/2006/relationships/hyperlink" Target="../../../../../../../../../../:w:/r/sites/labguide/_layouts/15/Doc.aspx?sourcedoc=%7B16E2ADB3-5883-4192-980C-92C22D5E675F%7D&amp;file=CONFIDENTIALITY%20AND%20DATA%20PROTECTION%20AGREEMENT.docx&amp;action=default&amp;mobileredirect=true" TargetMode="External"/><Relationship Id="rId114" Type="http://schemas.openxmlformats.org/officeDocument/2006/relationships/hyperlink" Target="../../../../../../../../../../:w:/s/labguide/ESTZ6SDVL6RFiUu3Gbw9QyoB45V384kguM22kUh9aDFFKw?e=0ZatXz" TargetMode="External"/><Relationship Id="rId119" Type="http://schemas.openxmlformats.org/officeDocument/2006/relationships/hyperlink" Target="../../../../../../../../../../:w:/s/labguide/Ef7zPXEuSdlJhxI92JXyJxgBowgQEHyU0Fs_f4qd-bx54w?e=YVbd7j" TargetMode="External"/><Relationship Id="rId44" Type="http://schemas.openxmlformats.org/officeDocument/2006/relationships/hyperlink" Target="../../../../../../../../../../:x:/s/labguide/EYIjrVAAXG5FjswbZKXz6-cBYY2MZd4QdpfGyqKAUXz3dA?e=3vy1v9&amp;nav=MTVfezAwMDAwMDAwLTAwMDEtMDAwMC0wNjAwLTAwMDAwMDAwMDAwMH0" TargetMode="External"/><Relationship Id="rId60" Type="http://schemas.openxmlformats.org/officeDocument/2006/relationships/hyperlink" Target="../../../../../../../../../../:w:/r/sites/labguide/_layouts/15/Doc.aspx?sourcedoc=%7BB3459A50-17A0-4FB4-A861-5C191F2BCC25%7D&amp;file=Access%20Management%20Process.docx&amp;action=default&amp;mobileredirect=true" TargetMode="External"/><Relationship Id="rId65"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81" Type="http://schemas.openxmlformats.org/officeDocument/2006/relationships/hyperlink" Target="../../../../../../../../../../:x:/s/labguide/EYIjrVAAXG5FjswbZKXz6-cBYY2MZd4QdpfGyqKAUXz3dA?e=okaqtL&amp;nav=MTVfe0M2NEMzQzZCLTk5NTItRjY0Qi1CMkQyLUE3Qzk5NzRDQ0NFRX0" TargetMode="External"/><Relationship Id="rId86" Type="http://schemas.openxmlformats.org/officeDocument/2006/relationships/hyperlink" Target="../../../../../../../../../../:x:/s/labguide/EYIjrVAAXG5FjswbZKXz6-cBYY2MZd4QdpfGyqKAUXz3dA?e=IeB8AE&amp;nav=MTVfezkzM0Y5RDk1LUU2MDAtNDkwNi1BMzZGLUVGNTk3Q0ZEQjBDNX0" TargetMode="External"/><Relationship Id="rId130"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35"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3" Type="http://schemas.openxmlformats.org/officeDocument/2006/relationships/hyperlink" Target="../../../../../../../../../../:w:/r/sites/labguide/_layouts/15/Doc.aspx?sourcedoc=%7B67EC913B-E9C8-4590-B44C-832F81DE15AD%7D&amp;file=240809%20NDA%20english%20subcontractors.docx&amp;action=default&amp;mobileredirect=true" TargetMode="External"/><Relationship Id="rId18"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39" Type="http://schemas.openxmlformats.org/officeDocument/2006/relationships/hyperlink" Target="../../../../../../../../../../:x:/s/labguide/EYIjrVAAXG5FjswbZKXz6-cBYY2MZd4QdpfGyqKAUXz3dA?e=wWZhil&amp;nav=MTVfezgzM0RDQ0ZFLTQ2MUEtNDc0QS1BMUEyLUE3MEJBNEIwMjFDMH0" TargetMode="External"/><Relationship Id="rId109" Type="http://schemas.openxmlformats.org/officeDocument/2006/relationships/hyperlink" Target="../../../../../../../../../../:w:/r/sites/labguide/_layouts/15/Doc.aspx?sourcedoc=%7B0E687C3E-1FE0-4565-BEB9-B0AF820A352D%7D&amp;file=Contractor%20agreement%20template.docx&amp;action=default&amp;mobileredirect=true" TargetMode="External"/><Relationship Id="rId34" Type="http://schemas.openxmlformats.org/officeDocument/2006/relationships/hyperlink" Target="../../../../../../../../../../:w:/s/labguide/Eb9h3wSmBhJKtoRbsGPpADUB64llkSZ_Dpo5bK2BQwk5kQ?e=YfNhn5" TargetMode="External"/><Relationship Id="rId50" Type="http://schemas.openxmlformats.org/officeDocument/2006/relationships/hyperlink" Target="../../../../../../../../../../:w:/r/sites/labguide/_layouts/15/Doc.aspx?sourcedoc=%7B760AE091-83B5-4EA5-BEAF-EA0DEAE52B22%7D&amp;file=Access%20Control%20Policy.docx&amp;action=default&amp;mobileredirect=true" TargetMode="External"/><Relationship Id="rId55" Type="http://schemas.openxmlformats.org/officeDocument/2006/relationships/hyperlink" Target="../../../../../../../../../../:w:/s/labguide/EbOt4haDWJJBmAySwi1eZ18B7fqRjpulboz4J2ZSS3RtSg?e=G7d0pZ" TargetMode="External"/><Relationship Id="rId76"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97" Type="http://schemas.openxmlformats.org/officeDocument/2006/relationships/hyperlink" Target="../../../../../../../../../../:w:/r/sites/labguide/_layouts/15/Doc.aspx?sourcedoc=%7BCBB57327-9903-438B-8DB4-374ABBDB61A0%7D&amp;file=Supplier%20%26%20Vendor%20Security%20Process.docx&amp;action=default&amp;mobileredirect=true" TargetMode="External"/><Relationship Id="rId104" Type="http://schemas.openxmlformats.org/officeDocument/2006/relationships/hyperlink" Target="../../../../../../../../../../:x:/s/labguide/EYIjrVAAXG5FjswbZKXz6-cBYY2MZd4QdpfGyqKAUXz3dA?e=lgLgfM&amp;nav=MTVfe0NFNDE2REE1LUE3REItNDgzRC1CM0IyLUVCRTA0OEJFQTUzRn0" TargetMode="External"/><Relationship Id="rId120"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25" Type="http://schemas.openxmlformats.org/officeDocument/2006/relationships/hyperlink" Target="../../../../../../../../../../:w:/s/labguide/Ef7zPXEuSdlJhxI92JXyJxgBowgQEHyU0Fs_f4qd-bx54w?e=YVbd7j" TargetMode="External"/><Relationship Id="rId141" Type="http://schemas.openxmlformats.org/officeDocument/2006/relationships/hyperlink" Target="https://labguides.sharepoint.com/:w:/s/labguide/ESpyZgbBreFIgsKTRXTG0PkBGa663l0GGSnRLCkNdR-rLg?e=m9gQNR" TargetMode="External"/><Relationship Id="rId146" Type="http://schemas.openxmlformats.org/officeDocument/2006/relationships/hyperlink" Target="../../../../../../../../../../:x:/s/labguide/EYIjrVAAXG5FjswbZKXz6-cBYY2MZd4QdpfGyqKAUXz3dA?e=5xwfDN&amp;nav=MTVfezAwMDAwMDAwLTAwMDEtMDAwMC0wNDAwLTAwMDAwMDAwMDAwMH0" TargetMode="External"/><Relationship Id="rId7" Type="http://schemas.openxmlformats.org/officeDocument/2006/relationships/hyperlink" Target="../../../../../../../../../../:w:/r/sites/labguide/_layouts/15/Doc.aspx?sourcedoc=%7BEF212703-CB0B-4324-B52F-605D12DB5371%7D&amp;file=Risk-Integrated%20Risk%20Assessment%20and%20Treatment%20-Procedure.docx&amp;action=default&amp;mobileredirect=true" TargetMode="External"/><Relationship Id="rId71" Type="http://schemas.openxmlformats.org/officeDocument/2006/relationships/hyperlink" Target="../../../../../../../../../../:w:/s/labguide/EeQVJ9yjIsFDmIiljtPlfecB6fXEU9q3Udk1BQ0ipR_oBw?e=LmU893" TargetMode="External"/><Relationship Id="rId92"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2" Type="http://schemas.openxmlformats.org/officeDocument/2006/relationships/hyperlink" Target="../../../../../../../../../../:w:/r/sites/labguide/_layouts/15/Doc.aspx?sourcedoc=%7B65ECFD91-CE52-4E0D-B1AE-C384FBC4395B%7D&amp;file=Confidentiality%20and%20NDA%20Policy.docx&amp;action=default&amp;mobileredirect=true" TargetMode="External"/><Relationship Id="rId29"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24"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40" Type="http://schemas.openxmlformats.org/officeDocument/2006/relationships/hyperlink" Target="../../../../../../../../../../:x:/s/labguide/EYIjrVAAXG5FjswbZKXz6-cBYY2MZd4QdpfGyqKAUXz3dA?e=Wed6p0&amp;nav=MTVfe0Q3Q0JDMjMxLTlBNjMtMEI0MS04NTRGLUQ3QTVDNjJDMTdBMX0" TargetMode="External"/><Relationship Id="rId45" Type="http://schemas.openxmlformats.org/officeDocument/2006/relationships/hyperlink" Target="../../../../../../../../../../:x:/s/labguide/EYIjrVAAXG5FjswbZKXz6-cBYY2MZd4QdpfGyqKAUXz3dA?e=CGFdTI&amp;nav=MTVfe0U1RThCNzkzLTE1ODMtNjU0Ri05RDJCLTY2QTMwQTc2NTQxQX0" TargetMode="External"/><Relationship Id="rId66"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87"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10"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115"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31" Type="http://schemas.openxmlformats.org/officeDocument/2006/relationships/hyperlink" Target="https://labguides.sharepoint.com/:x:/s/labguide/EYIjrVAAXG5FjswbZKXz6-cBYY2MZd4QdpfGyqKAUXz3dA?e=ABGpAx&amp;nav=MTVfezAwMDAwMDAwLTAwMDEtMDAwMC0wNDAwLTAwMDAwMDAwMDAwMH0" TargetMode="External"/><Relationship Id="rId136" Type="http://schemas.openxmlformats.org/officeDocument/2006/relationships/hyperlink" Target="https://labguides.sharepoint.com/:w:/s/labguide/ESpyZgbBreFIgsKTRXTG0PkBGa663l0GGSnRLCkNdR-rLg?e=XNO5yk" TargetMode="External"/><Relationship Id="rId61"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82"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9"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14" Type="http://schemas.openxmlformats.org/officeDocument/2006/relationships/hyperlink" Target="../../../../../../../../../../:w:/r/sites/labguide/_layouts/15/Doc.aspx?sourcedoc=%7BB36DBD04-77E9-4981-8D54-0DDAE20CDCDC%7D&amp;file=Contractor%20agreement%20template.docx&amp;action=default&amp;mobileredirect=true" TargetMode="External"/><Relationship Id="rId30"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35" Type="http://schemas.openxmlformats.org/officeDocument/2006/relationships/hyperlink" Target="../../../../../../../../../../:w:/r/sites/labguide/_layouts/15/Doc.aspx?sourcedoc=%7B760AE091-83B5-4EA5-BEAF-EA0DEAE52B22%7D&amp;file=Access%20Control%20Policy.docx&amp;action=default&amp;mobileredirect=true" TargetMode="External"/><Relationship Id="rId56" Type="http://schemas.openxmlformats.org/officeDocument/2006/relationships/hyperlink" Target="../../../../../../../../../../:w:/s/labguide/EfCdyW6dSvFMmikirN2DgwkBEpSQ6BThzYi2AMJUizdFoA?e=h9Ad3f" TargetMode="External"/><Relationship Id="rId77" Type="http://schemas.openxmlformats.org/officeDocument/2006/relationships/hyperlink" Target="../../../../../../../../../../:w:/s/labguide/Eb9h3wSmBhJKtoRbsGPpADUB64llkSZ_Dpo5bK2BQwk5kQ?e=YfNhn5" TargetMode="External"/><Relationship Id="rId100" Type="http://schemas.openxmlformats.org/officeDocument/2006/relationships/hyperlink" Target="../../../../../../../../../../:w:/r/sites/labguide/_layouts/15/Doc.aspx?sourcedoc=%7BE12A2F5E-46E2-46B4-BBB0-453200E2FAD1%7D&amp;file=Supplier%20Vendor%20Security%20Policy.docx&amp;action=default&amp;mobileredirect=true" TargetMode="External"/><Relationship Id="rId105" Type="http://schemas.openxmlformats.org/officeDocument/2006/relationships/hyperlink" Target="../../../../../../../../../../:x:/s/labguide/EYIjrVAAXG5FjswbZKXz6-cBYY2MZd4QdpfGyqKAUXz3dA?e=9z6Z8K&amp;nav=MTVfezAwMDAwMDAwLTAwMDEtMDAwMC0wMzAwLTAwMDAwMDAwMDAwMH0" TargetMode="External"/><Relationship Id="rId126" Type="http://schemas.openxmlformats.org/officeDocument/2006/relationships/hyperlink" Target="../../../../../../../../../../:w:/r/sites/labguide/_layouts/15/Doc.aspx?sourcedoc=%7B1B4B2EEE-F684-491F-A917-71ABE9B3E5FE%7D&amp;file=Internal%20Audit%20Policy.docx&amp;action=default&amp;mobileredirect=true" TargetMode="External"/><Relationship Id="rId147" Type="http://schemas.openxmlformats.org/officeDocument/2006/relationships/hyperlink" Target="https://labguides.sharepoint.com/:x:/s/labguide/EYIjrVAAXG5FjswbZKXz6-cBYY2MZd4QdpfGyqKAUXz3dA?e=3dqdUE&amp;nav=MTVfezcxNkY0NEFELTg0ODctMzY0My1CRUYzLUI5NzYxNDRFOUE5MX0" TargetMode="External"/><Relationship Id="rId8"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51" Type="http://schemas.openxmlformats.org/officeDocument/2006/relationships/hyperlink" Target="../../../../../../../../../../:w:/r/sites/labguide/_layouts/15/Doc.aspx?sourcedoc=%7BB3459A50-17A0-4FB4-A861-5C191F2BCC25%7D&amp;file=Access%20Management%20Process.docx&amp;action=default&amp;mobileredirect=true" TargetMode="External"/><Relationship Id="rId72" Type="http://schemas.openxmlformats.org/officeDocument/2006/relationships/hyperlink" Target="../../../../../../../../../../:x:/s/labguide/ETYphs-nmDFGvUrZO9SSdUUBXH2mghgjuwXY9WH7Klya2Q?e=Ybl6co" TargetMode="External"/><Relationship Id="rId93"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98" Type="http://schemas.openxmlformats.org/officeDocument/2006/relationships/hyperlink" Target="../../../../../../../../../../:w:/r/sites/labguide/_layouts/15/Doc.aspx?sourcedoc=%7BD76045AE-0F9E-4E37-AC16-1901C409AE28%7D&amp;file=Vendor%20Security%20Assessment%20Report.docx&amp;action=default&amp;mobileredirect=true" TargetMode="External"/><Relationship Id="rId121"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42"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3" Type="http://schemas.openxmlformats.org/officeDocument/2006/relationships/hyperlink" Target="../../../../../../../../../../:w:/r/sites/labguide/_layouts/15/Doc.aspx?sourcedoc=%7B760AE091-83B5-4EA5-BEAF-EA0DEAE52B22%7D&amp;file=Access%20Control%20Policy.docx&amp;action=default&amp;mobileredirect=true" TargetMode="External"/><Relationship Id="rId25" Type="http://schemas.openxmlformats.org/officeDocument/2006/relationships/hyperlink" Target="../../../../../../../../../../:w:/s/labguide/Eb9h3wSmBhJKtoRbsGPpADUB64llkSZ_Dpo5bK2BQwk5kQ?e=YfNhn5" TargetMode="External"/><Relationship Id="rId46" Type="http://schemas.openxmlformats.org/officeDocument/2006/relationships/hyperlink" Target="../../../../../../../../../../:x:/s/labguide/EYIjrVAAXG5FjswbZKXz6-cBYY2MZd4QdpfGyqKAUXz3dA?e=lSIusQ&amp;nav=MTVfezAwMDAwMDAwLTAwMDEtMDAwMC0wNTAwLTAwMDAwMDAwMDAwMH0" TargetMode="External"/><Relationship Id="rId67"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16" Type="http://schemas.openxmlformats.org/officeDocument/2006/relationships/hyperlink" Target="../../../../../../../../../../:w:/s/labguide/Ef7zPXEuSdlJhxI92JXyJxgBowgQEHyU0Fs_f4qd-bx54w?e=YVbd7j" TargetMode="External"/><Relationship Id="rId137" Type="http://schemas.openxmlformats.org/officeDocument/2006/relationships/hyperlink" Target="https://labguides.sharepoint.com/:w:/s/labguide/Ed7TSYYoKzpNsZnq1GinQsEBd9lk_8P9vIueodJLksAL8A?e=yOIIPn" TargetMode="External"/><Relationship Id="rId20"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41" Type="http://schemas.openxmlformats.org/officeDocument/2006/relationships/hyperlink" Target="../../../../../../../../../../:x:/s/labguide/EYIjrVAAXG5FjswbZKXz6-cBYY2MZd4QdpfGyqKAUXz3dA?e=OYCmp6&amp;nav=MTVfezhDMUU3MUEzLTZFNzUtOUU0Qy05OUYzLUM5MjZCRjUxRkFGMH0" TargetMode="External"/><Relationship Id="rId62"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83"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88"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111" Type="http://schemas.openxmlformats.org/officeDocument/2006/relationships/hyperlink" Target="../../../../../../../../../../:w:/s/labguide/ESTZ6SDVL6RFiUu3Gbw9QyoB45V384kguM22kUh9aDFFKw?e=0ZatXz" TargetMode="External"/><Relationship Id="rId132" Type="http://schemas.openxmlformats.org/officeDocument/2006/relationships/hyperlink" Target="https://labguides.sharepoint.com/:x:/s/labguide/EYIjrVAAXG5FjswbZKXz6-cBYY2MZd4QdpfGyqKAUXz3dA?e=p9wRBf&amp;nav=MTVfe0NFNDE2REE1LUE3REItNDgzRC1CM0IyLUVCRTA0OEJFQTUzRn0" TargetMode="External"/><Relationship Id="rId15" Type="http://schemas.openxmlformats.org/officeDocument/2006/relationships/hyperlink" Target="../../../../../../../Forms/AllItems.aspx?id=%2Fsites%2Flabguide%2FShared%20Documents%2FArion%20Networks%2F4%2E%20Legal%20%26%20Compliance%2FMSFT%20Supplier%20Documents%2FFY24%20Microsoft%20Supplier%20Data%20Protection%20Requirements%20%28v9%2E1%29new%5Fen%2DUS%2Epdf&amp;viewid=53cf52e5%2D7491%2D48ee%2Da09c%2De5f6af6996ce&amp;parent=%2Fsites%2Flabguide%2FShared%20Documents%2FArion%20Networks%2F4%2E%20Legal%20%26%20Compliance%2FMSFT%20Supplier%20Documents" TargetMode="External"/><Relationship Id="rId36" Type="http://schemas.openxmlformats.org/officeDocument/2006/relationships/hyperlink" Target="../../../../../../../../../../:w:/r/sites/labguide/_layouts/15/Doc.aspx?sourcedoc=%7BB3459A50-17A0-4FB4-A861-5C191F2BCC25%7D&amp;file=Access%20Management%20Process.docx&amp;action=default&amp;mobileredirect=true" TargetMode="External"/><Relationship Id="rId57" Type="http://schemas.openxmlformats.org/officeDocument/2006/relationships/hyperlink" Target="../../../../../../../../../../:w:/s/labguide/EfCdyW6dSvFMmikirN2DgwkBEpSQ6BThzYi2AMJUizdFoA?e=h9Ad3f" TargetMode="External"/><Relationship Id="rId106" Type="http://schemas.openxmlformats.org/officeDocument/2006/relationships/hyperlink" Target="../../../../../../../../../../:w:/r/sites/labguide/_layouts/15/Doc.aspx?sourcedoc=%7B93E784E1-5622-4008-A7DE-A8E1B8486018%7D&amp;file=Business%20Continuity%20Policy.docx&amp;action=default&amp;mobileredirect=true" TargetMode="External"/><Relationship Id="rId127" Type="http://schemas.openxmlformats.org/officeDocument/2006/relationships/hyperlink" Target="../../../../../../../../../../:x:/s/labguide/EYIjrVAAXG5FjswbZKXz6-cBYY2MZd4QdpfGyqKAUXz3dA?e=jW0PeX&amp;nav=MTVfezgzM0RDQ0ZFLTQ2MUEtNDc0QS1BMUEyLUE3MEJBNEIwMjFDMH0" TargetMode="External"/><Relationship Id="rId10" Type="http://schemas.openxmlformats.org/officeDocument/2006/relationships/hyperlink" Target="../../../../../../../../../../:w:/r/sites/labguide/_layouts/15/Doc.aspx?sourcedoc=%7B8CD10703-2AF0-45FA-928B-7F3536557E7F%7D&amp;file=Backup%20and%20Recovery%20Plan%20and%20Process.docx&amp;action=default&amp;mobileredirect=true" TargetMode="External"/><Relationship Id="rId31"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52" Type="http://schemas.openxmlformats.org/officeDocument/2006/relationships/hyperlink" Target="../../../../../../../../../../:w:/s/labguide/Eb9h3wSmBhJKtoRbsGPpADUB64llkSZ_Dpo5bK2BQwk5kQ?e=YfNhn5" TargetMode="External"/><Relationship Id="rId73"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78" Type="http://schemas.openxmlformats.org/officeDocument/2006/relationships/hyperlink" Target="../../../../../../../../../../:w:/s/labguide/EVCaRbOgF7RPqGFcGR8rzCUBoYdLmPFSnOVodocdCX0w8w?e=KW3NsL" TargetMode="External"/><Relationship Id="rId94" Type="http://schemas.openxmlformats.org/officeDocument/2006/relationships/hyperlink" Target="../../../../../../../../../../:w:/r/sites/labguide/_layouts/15/Doc.aspx?sourcedoc=%7B465173CD-B541-4524-B2DC-CE10EFC39A4E%7D&amp;file=240809%20NDA%20english%20subcontractors.docx&amp;action=default&amp;mobileredirect=true" TargetMode="External"/><Relationship Id="rId99" Type="http://schemas.openxmlformats.org/officeDocument/2006/relationships/hyperlink" Target="../../../../../../../../../../:w:/r/sites/labguide/_layouts/15/Doc.aspx?sourcedoc=%7BD76045AE-0F9E-4E37-AC16-1901C409AE28%7D&amp;file=Vendor%20Security%20Assessment%20Report.docx&amp;action=default&amp;mobileredirect=true" TargetMode="External"/><Relationship Id="rId101" Type="http://schemas.openxmlformats.org/officeDocument/2006/relationships/hyperlink" Target="../../../../../../../../../../:w:/r/sites/labguide/_layouts/15/Doc.aspx?sourcedoc=%7BCBB57327-9903-438B-8DB4-374ABBDB61A0%7D&amp;file=Supplier%20%26%20Vendor%20Security%20Process.docx&amp;action=default&amp;mobileredirect=true" TargetMode="External"/><Relationship Id="rId122" Type="http://schemas.openxmlformats.org/officeDocument/2006/relationships/hyperlink" Target="../../../../../../../../../../:w:/s/labguide/Ef7zPXEuSdlJhxI92JXyJxgBowgQEHyU0Fs_f4qd-bx54w?e=YVbd7j" TargetMode="External"/><Relationship Id="rId143" Type="http://schemas.openxmlformats.org/officeDocument/2006/relationships/hyperlink" Target="../../../../../../../../../../:w:/r/sites/labguide/_layouts/15/Doc.aspx?sourcedoc=%7BD76045AE-0F9E-4E37-AC16-1901C409AE28%7D&amp;file=Vendor%20Security%20Assessment%20Report.docx&amp;action=default&amp;mobileredirect=true" TargetMode="External"/><Relationship Id="rId148" Type="http://schemas.openxmlformats.org/officeDocument/2006/relationships/hyperlink" Target="https://labguides.sharepoint.com/:x:/s/labguide/EYIjrVAAXG5FjswbZKXz6-cBYY2MZd4QdpfGyqKAUXz3dA?e=X4tlwh&amp;nav=MTVfe0QzRDk2MDcxLTMyMEYtQjg0RC05RUE4LTM5ODVBRTkzREE5Mn0" TargetMode="External"/><Relationship Id="rId4"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 Id="rId9" Type="http://schemas.openxmlformats.org/officeDocument/2006/relationships/hyperlink" Target="../../../../../../../../../../:w:/r/sites/labguide/_layouts/15/Doc.aspx?sourcedoc=%7B93E784E1-5622-4008-A7DE-A8E1B8486018%7D&amp;file=Business%20Continuity%20Policy.docx&amp;action=default&amp;mobileredirect=true" TargetMode="External"/><Relationship Id="rId26" Type="http://schemas.openxmlformats.org/officeDocument/2006/relationships/hyperlink" Target="../../../../../../../../../../:x:/s/labguide/ETYphs-nmDFGvUrZO9SSdUUBXH2mghgjuwXY9WH7Klya2Q?e=cgLvq2" TargetMode="External"/><Relationship Id="rId47" Type="http://schemas.openxmlformats.org/officeDocument/2006/relationships/hyperlink" Target="../../../../../../../../../../:x:/s/labguide/EYIjrVAAXG5FjswbZKXz6-cBYY2MZd4QdpfGyqKAUXz3dA?e=SB5oKQ&amp;nav=MTVfezAwMDAwMDAwLTAwMDEtMDAwMC0wNjAwLTAwMDAwMDAwMDAwMH0" TargetMode="External"/><Relationship Id="rId68"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89"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12"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33" Type="http://schemas.openxmlformats.org/officeDocument/2006/relationships/hyperlink" Target="https://labguides.sharepoint.com/:x:/s/labguide/EYIjrVAAXG5FjswbZKXz6-cBYY2MZd4QdpfGyqKAUXz3dA?e=UCn1ra&amp;nav=MTVfe0QzRDk2MDcxLTMyMEYtQjg0RC05RUE4LTM5ODVBRTkzREE5Mn0" TargetMode="External"/><Relationship Id="rId16" Type="http://schemas.openxmlformats.org/officeDocument/2006/relationships/hyperlink" Target="../../../../../../../../../../:w:/r/sites/labguide/_layouts/15/Doc.aspx?sourcedoc=%7BCBB57327-9903-438B-8DB4-374ABBDB61A0%7D&amp;file=Supplier%20%26%20Vendor%20Security%20Process.docx&amp;action=default&amp;mobileredirect=true" TargetMode="External"/><Relationship Id="rId37" Type="http://schemas.openxmlformats.org/officeDocument/2006/relationships/hyperlink" Target="../../../../../../../../../../:w:/r/sites/labguide/_layouts/15/Doc.aspx?sourcedoc=%7BFEA80EE1-4319-4FD6-9951-952706E8B83A%7D&amp;file=Information%20Security%20%26%20Data%20Management%20Policy.docx&amp;action=default&amp;mobileredirect=true" TargetMode="External"/><Relationship Id="rId58" Type="http://schemas.openxmlformats.org/officeDocument/2006/relationships/hyperlink" Target="../../../../../../../../../../:w:/s/labguide/EfCdyW6dSvFMmikirN2DgwkBEpSQ6BThzYi2AMJUizdFoA?e=cETfwL" TargetMode="External"/><Relationship Id="rId79" Type="http://schemas.openxmlformats.org/officeDocument/2006/relationships/hyperlink" Target="../../../../../../../../../../:w:/r/sites/labguide/_layouts/15/Doc.aspx?sourcedoc=%7B9183D52F-BCDC-4C10-B0A0-C28CFBBCA4AF%7D&amp;file=ISMS%20Change%20Management%20Process.docx&amp;action=default&amp;mobileredirect=true" TargetMode="External"/><Relationship Id="rId102" Type="http://schemas.openxmlformats.org/officeDocument/2006/relationships/hyperlink" Target="../../../../../../../../../../:x:/s/labguide/EYIjrVAAXG5FjswbZKXz6-cBYY2MZd4QdpfGyqKAUXz3dA?e=5xwfDN&amp;nav=MTVfezAwMDAwMDAwLTAwMDEtMDAwMC0wNDAwLTAwMDAwMDAwMDAwMH0" TargetMode="External"/><Relationship Id="rId123"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144" Type="http://schemas.openxmlformats.org/officeDocument/2006/relationships/hyperlink" Target="../../../../../../../../../../:w:/r/sites/labguide/_layouts/15/Doc.aspx?sourcedoc=%7B376BAAE8-4D45-4EF9-BDC0-5C4906ED7FFF%7D&amp;file=Information%20Security%20%26%20Data%20Management%20Policy.docx&amp;action=default&amp;mobileredirect=true" TargetMode="External"/><Relationship Id="rId90" Type="http://schemas.openxmlformats.org/officeDocument/2006/relationships/hyperlink" Target="../../../../../../../../../../:w:/r/sites/labguide/_layouts/15/Doc.aspx?sourcedoc=%7B04DF61BF-06A6-4A12-B684-5BB063E90035%7D&amp;file=Information%20Security%20and%20Data%20Management%20Process.docx&amp;action=default&amp;mobileredirect=true"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1.xml"/><Relationship Id="rId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 Id="rId4" Type="http://schemas.microsoft.com/office/2017/10/relationships/threadedComment" Target="../threadedComments/threadedComment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hyperlink" Target="../../../../../../../../../../:x:/s/labguide/ETYphs-nmDFGvUrZO9SSdUUBXH2mghgjuwXY9WH7Klya2Q?e=xEfXe6" TargetMode="External"/><Relationship Id="rId7" Type="http://schemas.openxmlformats.org/officeDocument/2006/relationships/drawing" Target="../drawings/drawing17.xml"/><Relationship Id="rId2" Type="http://schemas.openxmlformats.org/officeDocument/2006/relationships/hyperlink" Target="../../../../../../../../../../:x:/s/labguide/ETYphs-nmDFGvUrZO9SSdUUBXH2mghgjuwXY9WH7Klya2Q?e=xEfXe6" TargetMode="External"/><Relationship Id="rId1" Type="http://schemas.openxmlformats.org/officeDocument/2006/relationships/hyperlink" Target="../../../../../../../../../../:x:/s/labguide/ETYphs-nmDFGvUrZO9SSdUUBXH2mghgjuwXY9WH7Klya2Q?e=xEfXe6" TargetMode="External"/><Relationship Id="rId6" Type="http://schemas.openxmlformats.org/officeDocument/2006/relationships/hyperlink" Target="../../../../../../../../../../:x:/s/labguide/ETYphs-nmDFGvUrZO9SSdUUBXH2mghgjuwXY9WH7Klya2Q?e=xEfXe6" TargetMode="External"/><Relationship Id="rId5" Type="http://schemas.openxmlformats.org/officeDocument/2006/relationships/hyperlink" Target="../../../../../../../../../../:x:/s/labguide/ETYphs-nmDFGvUrZO9SSdUUBXH2mghgjuwXY9WH7Klya2Q?e=xEfXe6" TargetMode="External"/><Relationship Id="rId4" Type="http://schemas.openxmlformats.org/officeDocument/2006/relationships/hyperlink" Target="../../../../../../../../../../:x:/s/labguide/ETYphs-nmDFGvUrZO9SSdUUBXH2mghgjuwXY9WH7Klya2Q?e=xEfXe6"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s://www.enisa.europa.eu/news" TargetMode="External"/><Relationship Id="rId7" Type="http://schemas.openxmlformats.org/officeDocument/2006/relationships/drawing" Target="../drawings/drawing18.xml"/><Relationship Id="rId2" Type="http://schemas.openxmlformats.org/officeDocument/2006/relationships/hyperlink" Target="https://owasp.org/news/" TargetMode="External"/><Relationship Id="rId1" Type="http://schemas.openxmlformats.org/officeDocument/2006/relationships/hyperlink" Target="https://cloudsecurityalliance.org/newsletter/" TargetMode="External"/><Relationship Id="rId6" Type="http://schemas.openxmlformats.org/officeDocument/2006/relationships/hyperlink" Target="https://www.enisa.europa.eu/rss-feeds-discontinued-new-subscription-mechanism-coming-soon" TargetMode="External"/><Relationship Id="rId5" Type="http://schemas.openxmlformats.org/officeDocument/2006/relationships/hyperlink" Target="https://www.nist.gov/news-events/newsletters" TargetMode="External"/><Relationship Id="rId4" Type="http://schemas.openxmlformats.org/officeDocument/2006/relationships/hyperlink" Target="https://www.cisecurity.org/newsletter-sign-up/" TargetMode="Externa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3.xml"/><Relationship Id="rId4" Type="http://schemas.microsoft.com/office/2017/10/relationships/threadedComment" Target="../threadedComments/threadedComment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30.xml"/><Relationship Id="rId4" Type="http://schemas.microsoft.com/office/2017/10/relationships/threadedComment" Target="../threadedComments/threadedComment4.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8" Type="http://schemas.openxmlformats.org/officeDocument/2006/relationships/hyperlink" Target="mailto:andriy.d@labguide.io" TargetMode="External"/><Relationship Id="rId13" Type="http://schemas.openxmlformats.org/officeDocument/2006/relationships/hyperlink" Target="mailto:albert.z@labguide.io" TargetMode="External"/><Relationship Id="rId18" Type="http://schemas.openxmlformats.org/officeDocument/2006/relationships/hyperlink" Target="mailto:albert.z@labguide.io" TargetMode="External"/><Relationship Id="rId3" Type="http://schemas.openxmlformats.org/officeDocument/2006/relationships/hyperlink" Target="mailto:andriy.d@labguide.io" TargetMode="External"/><Relationship Id="rId21" Type="http://schemas.openxmlformats.org/officeDocument/2006/relationships/hyperlink" Target="mailto:training@labguide.io" TargetMode="External"/><Relationship Id="rId7" Type="http://schemas.openxmlformats.org/officeDocument/2006/relationships/hyperlink" Target="mailto:albert.z@labguide.io" TargetMode="External"/><Relationship Id="rId12" Type="http://schemas.openxmlformats.org/officeDocument/2006/relationships/hyperlink" Target="mailto:amit.s@labguide.io" TargetMode="External"/><Relationship Id="rId17" Type="http://schemas.openxmlformats.org/officeDocument/2006/relationships/hyperlink" Target="mailto:amit.s@labguide.io" TargetMode="External"/><Relationship Id="rId2" Type="http://schemas.openxmlformats.org/officeDocument/2006/relationships/hyperlink" Target="mailto:albert.z@labguide.io" TargetMode="External"/><Relationship Id="rId16" Type="http://schemas.openxmlformats.org/officeDocument/2006/relationships/hyperlink" Target="mailto:joseph.c@labguide.io" TargetMode="External"/><Relationship Id="rId20" Type="http://schemas.openxmlformats.org/officeDocument/2006/relationships/hyperlink" Target="mailto:joseph.c@labguide.io" TargetMode="External"/><Relationship Id="rId1" Type="http://schemas.openxmlformats.org/officeDocument/2006/relationships/hyperlink" Target="mailto:amit.s@labguide.io" TargetMode="External"/><Relationship Id="rId6" Type="http://schemas.openxmlformats.org/officeDocument/2006/relationships/hyperlink" Target="mailto:amit.s@labguide.io" TargetMode="External"/><Relationship Id="rId11" Type="http://schemas.openxmlformats.org/officeDocument/2006/relationships/hyperlink" Target="mailto:tomas.k@labguide.io" TargetMode="External"/><Relationship Id="rId5" Type="http://schemas.openxmlformats.org/officeDocument/2006/relationships/hyperlink" Target="mailto:joseph.c@labguide.io" TargetMode="External"/><Relationship Id="rId15" Type="http://schemas.openxmlformats.org/officeDocument/2006/relationships/hyperlink" Target="mailto:tomas.k@labguide.io" TargetMode="External"/><Relationship Id="rId23" Type="http://schemas.openxmlformats.org/officeDocument/2006/relationships/drawing" Target="../drawings/drawing32.xml"/><Relationship Id="rId10" Type="http://schemas.openxmlformats.org/officeDocument/2006/relationships/hyperlink" Target="mailto:training@labguide.io" TargetMode="External"/><Relationship Id="rId19" Type="http://schemas.openxmlformats.org/officeDocument/2006/relationships/hyperlink" Target="mailto:andriy.d@labguide.io" TargetMode="External"/><Relationship Id="rId4" Type="http://schemas.openxmlformats.org/officeDocument/2006/relationships/hyperlink" Target="mailto:tomas.k@labguide.io" TargetMode="External"/><Relationship Id="rId9" Type="http://schemas.openxmlformats.org/officeDocument/2006/relationships/hyperlink" Target="mailto:joseph.c@labguide.io" TargetMode="External"/><Relationship Id="rId14" Type="http://schemas.openxmlformats.org/officeDocument/2006/relationships/hyperlink" Target="mailto:andriy.d@labguide.io" TargetMode="External"/><Relationship Id="rId22" Type="http://schemas.openxmlformats.org/officeDocument/2006/relationships/hyperlink" Target="mailto:tomas.k@labguide.io" TargetMode="Externa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8" Type="http://schemas.openxmlformats.org/officeDocument/2006/relationships/hyperlink" Target="https://www.zakonyprolidi.cz/cs/2000-365" TargetMode="External"/><Relationship Id="rId13" Type="http://schemas.openxmlformats.org/officeDocument/2006/relationships/hyperlink" Target="https://formulare.financnianalytickyurad.cz/fas/FormService/filler.open?name=FAU-OPO.fo" TargetMode="External"/><Relationship Id="rId18" Type="http://schemas.openxmlformats.org/officeDocument/2006/relationships/hyperlink" Target="mailto:posta@na.gov.cz" TargetMode="External"/><Relationship Id="rId26" Type="http://schemas.openxmlformats.org/officeDocument/2006/relationships/comments" Target="../comments8.xml"/><Relationship Id="rId3" Type="http://schemas.openxmlformats.org/officeDocument/2006/relationships/hyperlink" Target="https://nukib.gov.cz/" TargetMode="External"/><Relationship Id="rId21" Type="http://schemas.openxmlformats.org/officeDocument/2006/relationships/hyperlink" Target="https://unmz.gov.cz/" TargetMode="External"/><Relationship Id="rId7" Type="http://schemas.openxmlformats.org/officeDocument/2006/relationships/hyperlink" Target="https://www.nacr.cz/legislation" TargetMode="External"/><Relationship Id="rId12" Type="http://schemas.openxmlformats.org/officeDocument/2006/relationships/hyperlink" Target="mailto:posta@uoou.gov.cz" TargetMode="External"/><Relationship Id="rId17" Type="http://schemas.openxmlformats.org/officeDocument/2006/relationships/hyperlink" Target="mailto:posta@mpo.cz" TargetMode="External"/><Relationship Id="rId25" Type="http://schemas.openxmlformats.org/officeDocument/2006/relationships/vmlDrawing" Target="../drawings/vmlDrawing8.vml"/><Relationship Id="rId2" Type="http://schemas.openxmlformats.org/officeDocument/2006/relationships/hyperlink" Target="https://fau.gov.cz/en" TargetMode="External"/><Relationship Id="rId16" Type="http://schemas.openxmlformats.org/officeDocument/2006/relationships/hyperlink" Target="mailto:podatelna@ctu.cz" TargetMode="External"/><Relationship Id="rId20" Type="http://schemas.openxmlformats.org/officeDocument/2006/relationships/hyperlink" Target="mailto:cert.incident@nukib.gov.cz" TargetMode="External"/><Relationship Id="rId1" Type="http://schemas.openxmlformats.org/officeDocument/2006/relationships/hyperlink" Target="https://uoou.gov.cz/" TargetMode="External"/><Relationship Id="rId6" Type="http://schemas.openxmlformats.org/officeDocument/2006/relationships/hyperlink" Target="https://www.mpo.cz/" TargetMode="External"/><Relationship Id="rId11" Type="http://schemas.openxmlformats.org/officeDocument/2006/relationships/hyperlink" Target="mailto:posta@uoou.gov.cz" TargetMode="External"/><Relationship Id="rId24" Type="http://schemas.openxmlformats.org/officeDocument/2006/relationships/drawing" Target="../drawings/drawing35.xml"/><Relationship Id="rId5" Type="http://schemas.openxmlformats.org/officeDocument/2006/relationships/hyperlink" Target="https://www.ctu.eu/legislation" TargetMode="External"/><Relationship Id="rId15" Type="http://schemas.openxmlformats.org/officeDocument/2006/relationships/hyperlink" Target="mailto:cert.incident@nukib.gov.cz" TargetMode="External"/><Relationship Id="rId23" Type="http://schemas.openxmlformats.org/officeDocument/2006/relationships/hyperlink" Target="https://microsoft.aravo.com/aems/home/supplier/" TargetMode="External"/><Relationship Id="rId10" Type="http://schemas.openxmlformats.org/officeDocument/2006/relationships/hyperlink" Target="https://www.exbio.cz/about-exbio/technical-resources/appropriately-reinvent-real-time?utm_source=chatgpt.com" TargetMode="External"/><Relationship Id="rId19" Type="http://schemas.openxmlformats.org/officeDocument/2006/relationships/hyperlink" Target="mailto:info@zakonyprolidi.cz" TargetMode="External"/><Relationship Id="rId4" Type="http://schemas.openxmlformats.org/officeDocument/2006/relationships/hyperlink" Target="https://nukib.gov.cz/" TargetMode="External"/><Relationship Id="rId9" Type="http://schemas.openxmlformats.org/officeDocument/2006/relationships/hyperlink" Target="https://public.psp.cz/sqw/text/orig2.sqw?idd=224027" TargetMode="External"/><Relationship Id="rId14" Type="http://schemas.openxmlformats.org/officeDocument/2006/relationships/hyperlink" Target="mailto:cert.incident@nukib.gov.cz,%20www.iso.org" TargetMode="External"/><Relationship Id="rId22" Type="http://schemas.openxmlformats.org/officeDocument/2006/relationships/hyperlink" Target="mailto:unmz@unmz.cz" TargetMode="External"/><Relationship Id="rId27" Type="http://schemas.microsoft.com/office/2017/10/relationships/threadedComment" Target="../threadedComments/threadedComment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02AFB-FB08-4B03-9083-DE1D5C664E83}">
  <sheetPr codeName="Sheet11"/>
  <dimension ref="A1:D43"/>
  <sheetViews>
    <sheetView topLeftCell="A17" workbookViewId="0">
      <selection activeCell="B18" sqref="B18"/>
    </sheetView>
  </sheetViews>
  <sheetFormatPr defaultColWidth="55.28515625" defaultRowHeight="29.1"/>
  <cols>
    <col min="1" max="16384" width="55.28515625" style="26"/>
  </cols>
  <sheetData>
    <row r="1" spans="1:4">
      <c r="A1" s="22" t="s">
        <v>0</v>
      </c>
    </row>
    <row r="2" spans="1:4" s="25" customFormat="1">
      <c r="A2" s="25" t="s">
        <v>1</v>
      </c>
      <c r="B2" s="25" t="s">
        <v>2</v>
      </c>
      <c r="C2" s="65"/>
    </row>
    <row r="3" spans="1:4">
      <c r="A3" s="26" t="s">
        <v>3</v>
      </c>
      <c r="B3" s="66" t="s">
        <v>4</v>
      </c>
      <c r="C3" s="27"/>
      <c r="D3" s="25"/>
    </row>
    <row r="4" spans="1:4">
      <c r="A4" s="26" t="s">
        <v>5</v>
      </c>
      <c r="B4" s="66" t="s">
        <v>6</v>
      </c>
      <c r="C4" s="27"/>
      <c r="D4" s="25"/>
    </row>
    <row r="5" spans="1:4">
      <c r="A5" s="26" t="s">
        <v>7</v>
      </c>
      <c r="B5" s="66" t="s">
        <v>8</v>
      </c>
      <c r="C5" s="27"/>
      <c r="D5" s="25"/>
    </row>
    <row r="6" spans="1:4" ht="28.5">
      <c r="A6" s="26" t="s">
        <v>9</v>
      </c>
      <c r="B6" s="66" t="s">
        <v>10</v>
      </c>
      <c r="C6" s="27"/>
      <c r="D6" s="25"/>
    </row>
    <row r="7" spans="1:4">
      <c r="A7" s="26" t="s">
        <v>11</v>
      </c>
      <c r="B7" s="66" t="s">
        <v>12</v>
      </c>
      <c r="C7" s="27"/>
      <c r="D7" s="25"/>
    </row>
    <row r="8" spans="1:4">
      <c r="A8" s="26" t="s">
        <v>13</v>
      </c>
      <c r="B8" s="66" t="s">
        <v>14</v>
      </c>
      <c r="C8" s="27"/>
      <c r="D8" s="25"/>
    </row>
    <row r="9" spans="1:4">
      <c r="A9" s="26" t="s">
        <v>15</v>
      </c>
      <c r="B9" s="66" t="s">
        <v>16</v>
      </c>
      <c r="C9" s="27"/>
      <c r="D9" s="25"/>
    </row>
    <row r="10" spans="1:4" ht="28.5">
      <c r="A10" s="26" t="s">
        <v>17</v>
      </c>
      <c r="B10" s="66" t="s">
        <v>18</v>
      </c>
      <c r="C10" s="27"/>
      <c r="D10" s="25"/>
    </row>
    <row r="11" spans="1:4">
      <c r="A11" s="26" t="s">
        <v>19</v>
      </c>
      <c r="B11" s="66" t="s">
        <v>20</v>
      </c>
      <c r="C11" s="27"/>
      <c r="D11" s="25" t="s">
        <v>21</v>
      </c>
    </row>
    <row r="12" spans="1:4">
      <c r="A12" s="26" t="s">
        <v>22</v>
      </c>
      <c r="B12" s="66" t="s">
        <v>23</v>
      </c>
      <c r="C12" s="27"/>
      <c r="D12" s="25"/>
    </row>
    <row r="13" spans="1:4">
      <c r="A13" s="26" t="s">
        <v>24</v>
      </c>
      <c r="B13" s="66" t="s">
        <v>25</v>
      </c>
      <c r="C13" s="27"/>
      <c r="D13" s="25"/>
    </row>
    <row r="14" spans="1:4">
      <c r="A14" s="26" t="s">
        <v>26</v>
      </c>
      <c r="B14" s="66" t="s">
        <v>27</v>
      </c>
      <c r="C14" s="27"/>
      <c r="D14" s="25"/>
    </row>
    <row r="15" spans="1:4">
      <c r="A15" s="26" t="s">
        <v>28</v>
      </c>
      <c r="B15" s="66" t="s">
        <v>29</v>
      </c>
      <c r="C15" s="27"/>
      <c r="D15" s="25"/>
    </row>
    <row r="16" spans="1:4">
      <c r="A16" s="26" t="s">
        <v>30</v>
      </c>
      <c r="B16" s="66" t="s">
        <v>31</v>
      </c>
      <c r="C16" s="27"/>
      <c r="D16" s="25"/>
    </row>
    <row r="17" spans="1:4">
      <c r="A17" s="26" t="s">
        <v>32</v>
      </c>
      <c r="B17" s="66" t="s">
        <v>33</v>
      </c>
      <c r="C17" s="27"/>
      <c r="D17" s="25"/>
    </row>
    <row r="18" spans="1:4" ht="28.5">
      <c r="A18" s="26" t="s">
        <v>34</v>
      </c>
      <c r="B18" s="66" t="s">
        <v>35</v>
      </c>
      <c r="C18" s="27"/>
      <c r="D18" s="25"/>
    </row>
    <row r="19" spans="1:4">
      <c r="A19" s="26" t="s">
        <v>36</v>
      </c>
      <c r="B19" s="66" t="s">
        <v>37</v>
      </c>
      <c r="C19" s="27"/>
      <c r="D19" s="25"/>
    </row>
    <row r="20" spans="1:4" ht="28.5">
      <c r="A20" s="26" t="s">
        <v>38</v>
      </c>
      <c r="B20" s="66" t="s">
        <v>39</v>
      </c>
      <c r="C20" s="27"/>
      <c r="D20" s="25"/>
    </row>
    <row r="21" spans="1:4">
      <c r="A21" s="26" t="s">
        <v>40</v>
      </c>
      <c r="B21" s="66" t="s">
        <v>41</v>
      </c>
      <c r="C21" s="27"/>
      <c r="D21" s="25"/>
    </row>
    <row r="22" spans="1:4">
      <c r="A22" s="26" t="s">
        <v>42</v>
      </c>
      <c r="B22" s="66" t="s">
        <v>43</v>
      </c>
      <c r="C22" s="27"/>
      <c r="D22" s="25"/>
    </row>
    <row r="23" spans="1:4">
      <c r="A23" s="26" t="s">
        <v>44</v>
      </c>
      <c r="B23" s="66" t="s">
        <v>45</v>
      </c>
      <c r="C23" s="27"/>
      <c r="D23" s="25"/>
    </row>
    <row r="24" spans="1:4">
      <c r="A24" s="26" t="s">
        <v>46</v>
      </c>
      <c r="B24" s="66" t="s">
        <v>47</v>
      </c>
      <c r="C24" s="27"/>
      <c r="D24" s="25"/>
    </row>
    <row r="25" spans="1:4">
      <c r="A25" s="26" t="s">
        <v>48</v>
      </c>
      <c r="B25" s="66" t="s">
        <v>49</v>
      </c>
      <c r="C25" s="27"/>
      <c r="D25" s="25"/>
    </row>
    <row r="26" spans="1:4">
      <c r="A26" s="26" t="s">
        <v>50</v>
      </c>
      <c r="B26" s="66" t="s">
        <v>51</v>
      </c>
      <c r="C26" s="27"/>
      <c r="D26" s="25"/>
    </row>
    <row r="27" spans="1:4">
      <c r="A27" s="26" t="s">
        <v>52</v>
      </c>
      <c r="B27" s="66" t="s">
        <v>53</v>
      </c>
      <c r="C27" s="27"/>
      <c r="D27" s="25"/>
    </row>
    <row r="28" spans="1:4">
      <c r="A28" s="26" t="s">
        <v>54</v>
      </c>
      <c r="B28" s="66" t="s">
        <v>55</v>
      </c>
      <c r="C28" s="27"/>
      <c r="D28" s="25"/>
    </row>
    <row r="29" spans="1:4">
      <c r="A29" s="26" t="s">
        <v>56</v>
      </c>
      <c r="B29" s="66" t="s">
        <v>57</v>
      </c>
      <c r="D29" s="25"/>
    </row>
    <row r="30" spans="1:4" ht="28.5">
      <c r="A30" s="26" t="s">
        <v>58</v>
      </c>
      <c r="B30" s="66" t="s">
        <v>59</v>
      </c>
      <c r="D30" s="25"/>
    </row>
    <row r="31" spans="1:4">
      <c r="A31" s="26" t="s">
        <v>60</v>
      </c>
      <c r="B31" s="66" t="s">
        <v>61</v>
      </c>
      <c r="D31" s="25"/>
    </row>
    <row r="32" spans="1:4">
      <c r="A32" s="26" t="s">
        <v>62</v>
      </c>
      <c r="B32" s="66" t="s">
        <v>63</v>
      </c>
      <c r="D32" s="25"/>
    </row>
    <row r="33" spans="1:4">
      <c r="A33" s="26" t="s">
        <v>64</v>
      </c>
      <c r="B33" s="66" t="s">
        <v>65</v>
      </c>
      <c r="D33" s="25"/>
    </row>
    <row r="34" spans="1:4" ht="28.5">
      <c r="A34" s="26" t="s">
        <v>66</v>
      </c>
      <c r="B34" s="66" t="s">
        <v>67</v>
      </c>
      <c r="D34" s="25"/>
    </row>
    <row r="35" spans="1:4" ht="28.5">
      <c r="A35" s="26" t="s">
        <v>68</v>
      </c>
      <c r="B35" s="66" t="s">
        <v>68</v>
      </c>
      <c r="D35" s="25"/>
    </row>
    <row r="36" spans="1:4">
      <c r="A36" s="26" t="s">
        <v>69</v>
      </c>
      <c r="B36" s="66" t="s">
        <v>70</v>
      </c>
      <c r="D36" s="25"/>
    </row>
    <row r="37" spans="1:4" ht="28.5">
      <c r="A37" s="26" t="s">
        <v>71</v>
      </c>
      <c r="B37" s="66" t="s">
        <v>72</v>
      </c>
      <c r="D37" s="25"/>
    </row>
    <row r="38" spans="1:4" ht="28.5">
      <c r="A38" s="26" t="s">
        <v>73</v>
      </c>
      <c r="B38" s="66" t="s">
        <v>74</v>
      </c>
      <c r="D38" s="25"/>
    </row>
    <row r="39" spans="1:4">
      <c r="A39" s="26" t="s">
        <v>75</v>
      </c>
      <c r="B39" s="66" t="s">
        <v>76</v>
      </c>
    </row>
    <row r="40" spans="1:4" ht="28.5"/>
    <row r="41" spans="1:4" ht="28.5"/>
    <row r="42" spans="1:4" ht="28.5"/>
    <row r="43" spans="1:4" ht="28.5"/>
  </sheetData>
  <hyperlinks>
    <hyperlink ref="B3" location="'Documentation'!A1" display="Go to Documentation" xr:uid="{DFDF69D2-5779-0F46-B2DE-A63342D48FF2}"/>
    <hyperlink ref="B4" location="'Mapping'!A1" display="Go to Mapping" xr:uid="{DBC24D0C-E400-754F-86B7-D43902633737}"/>
    <hyperlink ref="B5" location="'This Doc Chng Control'!A1" display="Go to This Doc Chng Control" xr:uid="{7C19A482-58D7-744C-9857-B22EE7AECC2A}"/>
    <hyperlink ref="B7" location="'ISMS Objectives'!A1" display="Go to ISMS Objectives" xr:uid="{96ED067E-CBB4-9440-8F14-647C6C2B87AC}"/>
    <hyperlink ref="B8" location="'Instructions and Definitions'!A1" display="Go to Instructions and Definitions" xr:uid="{2D402573-7C94-5748-9EB3-D5DB64376239}"/>
    <hyperlink ref="B9" location="'Asset Register'!A1" display="Go to Asset Register" xr:uid="{FC8E824F-0D29-2143-8A2B-6EDB97FA42C1}"/>
    <hyperlink ref="B11" location="'Risk Register'!A1" display="Go to Risk Register" xr:uid="{C578689B-381A-174E-A30F-61142B3318F9}"/>
    <hyperlink ref="B12" location="'Risk Treatment Plan'!A1" display="Go to Risk Treatment Plan" xr:uid="{A497EFAC-74E5-1F4D-A766-C66C6201721C}"/>
    <hyperlink ref="B13" location="'Statement of Applicability'!A1" display="Go to Statement of Applicability" xr:uid="{242B70E7-90C1-E44C-9310-0D7FF9CE0BFB}"/>
    <hyperlink ref="B14" location="'ISMS Action Tracker'!A1" display="Go to ISMS Action Tracker" xr:uid="{32DACDF1-FF62-D94D-9E55-3BD13B13C9C8}"/>
    <hyperlink ref="B15" location="'BIA Bus. Impact Ass.'!A1" display="Go to BIA Bus. Impact Ass." xr:uid="{93E088FC-3D35-5B43-90A8-B75D1119A397}"/>
    <hyperlink ref="B16" location="'Incident Log'!A1" display="Go to Incident Log" xr:uid="{0B25654C-6B83-884E-8CB1-E4AC7556CF0F}"/>
    <hyperlink ref="B17" location="'Audit Log'!A1" display="Go to Audit Log" xr:uid="{BD5C9176-827A-604A-9762-C8A02D22BE1D}"/>
    <hyperlink ref="B19" location="'Training &amp; Awarnesse Record'!A1" display="Go to Training &amp; Awarnesse Record" xr:uid="{435A2DD2-6731-A74F-ADC2-90EF9BB435DE}"/>
    <hyperlink ref="B21" location="'Management Review Log'!A1" display="Go to Management Review Log" xr:uid="{4B9E40CA-429C-9442-87DF-E6B684EE382C}"/>
    <hyperlink ref="B22" location="'Change Mgmt Log'!A1" display="Go to Change Mgmt Log" xr:uid="{C5F4A6CB-8FCE-1940-9A55-446594DA956C}"/>
    <hyperlink ref="B23" location="'Document Cont. Reg.'!A1" display="Go to Document Cont. Reg." xr:uid="{9E6E62EF-D972-E64C-969D-DEDBF5D5A91F}"/>
    <hyperlink ref="B24" location="'Monitoring Log'!A1" display="Go to Monitoring Log" xr:uid="{6758D332-9DB0-DE45-BBD5-171393352836}"/>
    <hyperlink ref="B25" location="'User BYOD Compl. Log'!A1" display="Go to User BYOD Compl. Log" xr:uid="{5F3D1771-C394-5D49-AE68-31D3B31C12FA}"/>
    <hyperlink ref="B26" location="'Risk Comms Matrix'!A1" display="Go to Risk Comms Matrix" xr:uid="{5B213A54-D565-7444-99FF-C0D1ABD25FA4}"/>
    <hyperlink ref="B27" location="'NonConf Act. Tracker'!A1" display="Go to NonConf Act. Tracker" xr:uid="{53775D81-7897-F74D-895A-210FF9BDCC47}"/>
    <hyperlink ref="B28" location="'PenTest Sec Ass Log'!A1" display="Go to PenTest Sec Ass Log" xr:uid="{A39307A6-CAAD-1C48-AFF8-5A239CC13104}"/>
    <hyperlink ref="B29" location="'ThirdParty Vendor Risk '!A1" display="Go to ThirdParty Vendor Risk " xr:uid="{E0370956-DC97-784C-8AF2-EEF1BF9DF3D2}"/>
    <hyperlink ref="B31" location="'Business Cont DR Plan'!A1" display="Go to Business Cont DR Plan" xr:uid="{AAC3302D-4566-D344-AD96-1EAEA07F77AE}"/>
    <hyperlink ref="B32" location="'Quarterly Security Review'!A1" display="Go to Quarterly Security Review" xr:uid="{4E34F615-ACA5-5140-B1EC-385B1AF8A027}"/>
    <hyperlink ref="B33" location="'Competence Records'!A1" display="Go to Competence Records" xr:uid="{DF13C5D9-3133-F340-99B6-1C627C6B5BD7}"/>
    <hyperlink ref="B34" r:id="rId1" xr:uid="{072F0C9C-7095-364C-8881-7655A94C11B5}"/>
    <hyperlink ref="B36" location="'Info Sec KPI Metrics Tracker'!A1" display="Go to Info Sec KPI Metrics Tracker" xr:uid="{E4E763E9-8AAF-D241-A418-DB868DE929EC}"/>
    <hyperlink ref="B39" location="'Formulas'!A1" display="Go to Formulas" xr:uid="{D72A7C7E-D436-E844-9DB7-0A5699E5916A}"/>
    <hyperlink ref="B6" r:id="rId2" xr:uid="{B1552C4E-7074-4EA1-99C1-1B324717B144}"/>
    <hyperlink ref="B10" r:id="rId3" xr:uid="{B5F8B545-7285-4FF2-AFA0-93938CAEE2AF}"/>
    <hyperlink ref="B18" r:id="rId4" xr:uid="{88A1050C-208A-4A3B-B60A-721FF492DE26}"/>
    <hyperlink ref="B20" r:id="rId5" xr:uid="{A34D3EC5-C9B0-401F-8BA2-475767F9427D}"/>
    <hyperlink ref="B37" r:id="rId6" xr:uid="{047B002F-2604-4DD5-B122-7C4C8ED91BBB}"/>
    <hyperlink ref="B38" r:id="rId7" xr:uid="{FA2CD89E-9C4D-4BB7-910D-2D741D2C0B88}"/>
    <hyperlink ref="B35" r:id="rId8" xr:uid="{B4AC8A5A-E38D-43B1-B71C-9F06193C1EFA}"/>
    <hyperlink ref="B30" r:id="rId9" xr:uid="{0F9653FB-E2EA-4E15-9D3C-A332A49F416D}"/>
  </hyperlinks>
  <pageMargins left="0.7" right="0.7" top="0.75" bottom="0.75" header="0.3" footer="0.3"/>
  <pageSetup paperSize="9" orientation="portrait" horizontalDpi="0" verticalDpi="0"/>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6830B-7856-1842-B5FC-5732A62E42C6}">
  <sheetPr codeName="Sheet12"/>
  <dimension ref="A1"/>
  <sheetViews>
    <sheetView topLeftCell="A46" workbookViewId="0"/>
  </sheetViews>
  <sheetFormatPr defaultColWidth="11.42578125" defaultRowHeight="1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690D4-7BE5-C448-8202-23ACDACCE3EC}">
  <sheetPr codeName="Sheet34"/>
  <dimension ref="A2:D37"/>
  <sheetViews>
    <sheetView workbookViewId="0">
      <selection activeCell="D26" sqref="D26"/>
    </sheetView>
  </sheetViews>
  <sheetFormatPr defaultColWidth="11.42578125" defaultRowHeight="15"/>
  <cols>
    <col min="1" max="1" width="41.140625" customWidth="1"/>
    <col min="2" max="3" width="51.140625" customWidth="1"/>
    <col min="4" max="4" width="66.42578125" customWidth="1"/>
    <col min="5" max="5" width="27.85546875" customWidth="1"/>
  </cols>
  <sheetData>
    <row r="2" spans="1:4" ht="24">
      <c r="A2" s="114" t="s">
        <v>77</v>
      </c>
    </row>
    <row r="6" spans="1:4">
      <c r="A6" s="1" t="s">
        <v>78</v>
      </c>
      <c r="B6" s="1" t="s">
        <v>79</v>
      </c>
      <c r="C6" s="1" t="s">
        <v>80</v>
      </c>
      <c r="D6" s="1" t="s">
        <v>81</v>
      </c>
    </row>
    <row r="7" spans="1:4">
      <c r="A7" s="1" t="s">
        <v>3</v>
      </c>
      <c r="B7" t="s">
        <v>82</v>
      </c>
      <c r="D7" t="s">
        <v>83</v>
      </c>
    </row>
    <row r="8" spans="1:4">
      <c r="A8" s="1" t="s">
        <v>84</v>
      </c>
      <c r="B8" t="s">
        <v>85</v>
      </c>
      <c r="D8" t="s">
        <v>86</v>
      </c>
    </row>
    <row r="9" spans="1:4">
      <c r="A9" s="1" t="s">
        <v>11</v>
      </c>
      <c r="B9" t="s">
        <v>87</v>
      </c>
      <c r="D9" t="s">
        <v>88</v>
      </c>
    </row>
    <row r="10" spans="1:4">
      <c r="A10" s="1" t="s">
        <v>13</v>
      </c>
      <c r="B10" t="s">
        <v>89</v>
      </c>
      <c r="D10" t="s">
        <v>90</v>
      </c>
    </row>
    <row r="11" spans="1:4">
      <c r="A11" s="1" t="s">
        <v>15</v>
      </c>
      <c r="B11" t="s">
        <v>91</v>
      </c>
      <c r="D11" t="s">
        <v>92</v>
      </c>
    </row>
    <row r="12" spans="1:4">
      <c r="A12" s="1" t="s">
        <v>19</v>
      </c>
      <c r="B12" t="s">
        <v>93</v>
      </c>
      <c r="D12" t="s">
        <v>94</v>
      </c>
    </row>
    <row r="13" spans="1:4">
      <c r="A13" s="1" t="s">
        <v>22</v>
      </c>
      <c r="B13" t="s">
        <v>95</v>
      </c>
      <c r="D13" t="s">
        <v>96</v>
      </c>
    </row>
    <row r="14" spans="1:4">
      <c r="A14" s="1" t="s">
        <v>24</v>
      </c>
      <c r="B14" t="s">
        <v>97</v>
      </c>
      <c r="D14" t="s">
        <v>98</v>
      </c>
    </row>
    <row r="15" spans="1:4">
      <c r="A15" s="1" t="s">
        <v>26</v>
      </c>
      <c r="B15" t="s">
        <v>87</v>
      </c>
      <c r="D15" t="s">
        <v>99</v>
      </c>
    </row>
    <row r="16" spans="1:4">
      <c r="A16" s="1" t="s">
        <v>100</v>
      </c>
      <c r="B16" t="s">
        <v>101</v>
      </c>
      <c r="D16" t="s">
        <v>102</v>
      </c>
    </row>
    <row r="17" spans="1:4">
      <c r="A17" s="1" t="s">
        <v>30</v>
      </c>
      <c r="B17" t="s">
        <v>103</v>
      </c>
      <c r="D17" t="s">
        <v>104</v>
      </c>
    </row>
    <row r="18" spans="1:4">
      <c r="A18" s="1" t="s">
        <v>32</v>
      </c>
      <c r="B18" t="s">
        <v>105</v>
      </c>
      <c r="D18" t="s">
        <v>106</v>
      </c>
    </row>
    <row r="19" spans="1:4">
      <c r="A19" s="1" t="s">
        <v>107</v>
      </c>
      <c r="B19" t="s">
        <v>108</v>
      </c>
      <c r="D19" t="s">
        <v>109</v>
      </c>
    </row>
    <row r="20" spans="1:4">
      <c r="A20" s="1" t="s">
        <v>40</v>
      </c>
      <c r="B20" t="s">
        <v>87</v>
      </c>
      <c r="D20" t="s">
        <v>110</v>
      </c>
    </row>
    <row r="21" spans="1:4">
      <c r="A21" s="1" t="s">
        <v>111</v>
      </c>
      <c r="B21" t="s">
        <v>112</v>
      </c>
      <c r="D21" t="s">
        <v>113</v>
      </c>
    </row>
    <row r="22" spans="1:4">
      <c r="A22" s="1" t="s">
        <v>114</v>
      </c>
      <c r="B22" t="s">
        <v>85</v>
      </c>
      <c r="D22" t="s">
        <v>115</v>
      </c>
    </row>
    <row r="23" spans="1:4">
      <c r="A23" s="1" t="s">
        <v>46</v>
      </c>
      <c r="B23" t="s">
        <v>116</v>
      </c>
      <c r="D23" t="s">
        <v>117</v>
      </c>
    </row>
    <row r="24" spans="1:4">
      <c r="A24" s="1" t="s">
        <v>118</v>
      </c>
      <c r="B24" t="s">
        <v>119</v>
      </c>
      <c r="D24" t="s">
        <v>120</v>
      </c>
    </row>
    <row r="25" spans="1:4">
      <c r="A25" s="1" t="s">
        <v>121</v>
      </c>
      <c r="B25" t="s">
        <v>122</v>
      </c>
      <c r="D25" t="s">
        <v>123</v>
      </c>
    </row>
    <row r="26" spans="1:4">
      <c r="A26" s="1" t="s">
        <v>124</v>
      </c>
      <c r="B26" t="s">
        <v>95</v>
      </c>
      <c r="D26" t="s">
        <v>125</v>
      </c>
    </row>
    <row r="27" spans="1:4">
      <c r="A27" s="1" t="s">
        <v>126</v>
      </c>
      <c r="B27" t="s">
        <v>127</v>
      </c>
      <c r="D27" t="s">
        <v>128</v>
      </c>
    </row>
    <row r="28" spans="1:4">
      <c r="A28" s="1" t="s">
        <v>129</v>
      </c>
      <c r="B28" t="s">
        <v>119</v>
      </c>
      <c r="D28" t="s">
        <v>130</v>
      </c>
    </row>
    <row r="29" spans="1:4">
      <c r="A29" s="1" t="s">
        <v>131</v>
      </c>
      <c r="B29" t="s">
        <v>132</v>
      </c>
      <c r="D29" t="s">
        <v>133</v>
      </c>
    </row>
    <row r="30" spans="1:4">
      <c r="A30" s="1" t="s">
        <v>134</v>
      </c>
      <c r="B30" t="s">
        <v>101</v>
      </c>
      <c r="D30" t="s">
        <v>135</v>
      </c>
    </row>
    <row r="31" spans="1:4">
      <c r="A31" s="1" t="s">
        <v>136</v>
      </c>
      <c r="B31" t="s">
        <v>87</v>
      </c>
      <c r="D31" t="s">
        <v>137</v>
      </c>
    </row>
    <row r="32" spans="1:4">
      <c r="A32" s="1" t="s">
        <v>64</v>
      </c>
      <c r="B32" t="s">
        <v>108</v>
      </c>
      <c r="D32" t="s">
        <v>138</v>
      </c>
    </row>
    <row r="33" spans="1:4">
      <c r="A33" s="1" t="s">
        <v>139</v>
      </c>
      <c r="B33" t="s">
        <v>87</v>
      </c>
      <c r="D33" t="s">
        <v>140</v>
      </c>
    </row>
    <row r="34" spans="1:4">
      <c r="A34" s="1" t="s">
        <v>141</v>
      </c>
      <c r="B34" t="s">
        <v>142</v>
      </c>
      <c r="C34" t="s">
        <v>143</v>
      </c>
      <c r="D34" t="s">
        <v>144</v>
      </c>
    </row>
    <row r="35" spans="1:4">
      <c r="A35" s="1" t="s">
        <v>145</v>
      </c>
      <c r="B35" t="s">
        <v>146</v>
      </c>
      <c r="D35" t="s">
        <v>147</v>
      </c>
    </row>
    <row r="36" spans="1:4">
      <c r="A36" s="1" t="s">
        <v>148</v>
      </c>
      <c r="B36" t="s">
        <v>149</v>
      </c>
      <c r="D36" t="s">
        <v>150</v>
      </c>
    </row>
    <row r="37" spans="1:4">
      <c r="A37" s="1" t="s">
        <v>75</v>
      </c>
      <c r="B37" t="s">
        <v>151</v>
      </c>
      <c r="D37" t="s">
        <v>152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85E04-A9B0-FA4C-9436-A6591A64DEF9}">
  <sheetPr codeName="Sheet14"/>
  <dimension ref="A1:H174"/>
  <sheetViews>
    <sheetView topLeftCell="A13" workbookViewId="0"/>
  </sheetViews>
  <sheetFormatPr defaultColWidth="11.42578125" defaultRowHeight="15"/>
  <cols>
    <col min="1" max="1" width="20.28515625" customWidth="1"/>
    <col min="2" max="2" width="17.42578125" customWidth="1"/>
    <col min="3" max="3" width="21" customWidth="1"/>
    <col min="4" max="4" width="59.140625" customWidth="1"/>
    <col min="5" max="5" width="62.28515625" customWidth="1"/>
  </cols>
  <sheetData>
    <row r="1" spans="1:8" ht="18" thickBot="1">
      <c r="A1" s="168" t="s">
        <v>153</v>
      </c>
      <c r="B1" s="154" t="s">
        <v>154</v>
      </c>
      <c r="C1" s="155" t="s">
        <v>155</v>
      </c>
      <c r="D1" s="155" t="s">
        <v>156</v>
      </c>
      <c r="E1" s="156" t="s">
        <v>157</v>
      </c>
    </row>
    <row r="2" spans="1:8" ht="26.1" customHeight="1" thickBot="1">
      <c r="A2" s="163" t="s">
        <v>158</v>
      </c>
      <c r="B2" s="157" t="s">
        <v>159</v>
      </c>
      <c r="C2" s="157" t="s">
        <v>160</v>
      </c>
      <c r="D2" s="158" t="s">
        <v>161</v>
      </c>
      <c r="E2" s="164" t="s">
        <v>162</v>
      </c>
      <c r="F2" s="150"/>
    </row>
    <row r="3" spans="1:8" ht="26.1" customHeight="1" thickBot="1">
      <c r="A3" s="168" t="s">
        <v>163</v>
      </c>
      <c r="B3" s="155" t="s">
        <v>164</v>
      </c>
      <c r="C3" s="155" t="s">
        <v>165</v>
      </c>
      <c r="D3" s="155" t="s">
        <v>166</v>
      </c>
      <c r="E3" s="156" t="s">
        <v>167</v>
      </c>
      <c r="F3" s="2"/>
      <c r="G3" s="2"/>
      <c r="H3" s="2"/>
    </row>
    <row r="4" spans="1:8" ht="26.1" customHeight="1">
      <c r="A4" s="165" t="s">
        <v>168</v>
      </c>
      <c r="B4" s="153" t="s">
        <v>169</v>
      </c>
      <c r="C4" s="153" t="s">
        <v>160</v>
      </c>
      <c r="D4" s="166">
        <v>45752</v>
      </c>
      <c r="E4" s="167" t="s">
        <v>169</v>
      </c>
    </row>
    <row r="5" spans="1:8" ht="33.950000000000003">
      <c r="A5" s="161" t="s">
        <v>170</v>
      </c>
      <c r="B5" s="152" t="s">
        <v>171</v>
      </c>
      <c r="C5" s="160" t="s">
        <v>172</v>
      </c>
      <c r="D5" s="159">
        <v>45754</v>
      </c>
      <c r="E5" s="162" t="s">
        <v>171</v>
      </c>
    </row>
    <row r="6" spans="1:8" ht="17.100000000000001" thickBot="1">
      <c r="A6" s="169" t="s">
        <v>173</v>
      </c>
      <c r="B6" s="170" t="s">
        <v>174</v>
      </c>
      <c r="C6" s="170" t="s">
        <v>175</v>
      </c>
      <c r="D6" s="171">
        <v>45758</v>
      </c>
      <c r="E6" s="172" t="s">
        <v>174</v>
      </c>
    </row>
    <row r="7" spans="1:8" ht="24" customHeight="1">
      <c r="A7" s="340" t="s">
        <v>176</v>
      </c>
      <c r="B7" s="341"/>
      <c r="C7" s="341"/>
      <c r="D7" s="341"/>
      <c r="E7" s="342"/>
    </row>
    <row r="8" spans="1:8" ht="15.95">
      <c r="A8" s="161" t="s">
        <v>177</v>
      </c>
      <c r="B8" s="151" t="s">
        <v>166</v>
      </c>
      <c r="C8" s="151" t="s">
        <v>178</v>
      </c>
      <c r="D8" s="151" t="s">
        <v>179</v>
      </c>
      <c r="E8" s="162"/>
    </row>
    <row r="9" spans="1:8" ht="15.95">
      <c r="A9" s="173" t="s">
        <v>161</v>
      </c>
      <c r="B9" s="166">
        <v>45752</v>
      </c>
      <c r="C9" s="153" t="s">
        <v>169</v>
      </c>
      <c r="D9" s="153" t="s">
        <v>180</v>
      </c>
      <c r="E9" s="167"/>
    </row>
    <row r="10" spans="1:8" ht="15.95">
      <c r="A10" s="161"/>
      <c r="B10" s="151"/>
      <c r="C10" s="152"/>
      <c r="D10" s="152"/>
      <c r="E10" s="162"/>
    </row>
    <row r="11" spans="1:8" ht="27" thickBot="1">
      <c r="A11" s="174"/>
      <c r="B11" s="175"/>
      <c r="C11" s="176"/>
      <c r="D11" s="176"/>
      <c r="E11" s="177"/>
    </row>
    <row r="12" spans="1:8" ht="26.1">
      <c r="A12" s="23"/>
      <c r="B12" s="23"/>
    </row>
    <row r="13" spans="1:8" ht="26.1">
      <c r="A13" s="23"/>
      <c r="B13" s="23"/>
    </row>
    <row r="14" spans="1:8" ht="26.1">
      <c r="A14" s="23" t="s">
        <v>181</v>
      </c>
      <c r="B14" s="23"/>
    </row>
    <row r="16" spans="1:8" ht="18.95">
      <c r="A16" s="22" t="s">
        <v>182</v>
      </c>
      <c r="B16" s="22" t="s">
        <v>183</v>
      </c>
      <c r="C16" s="22" t="s">
        <v>184</v>
      </c>
      <c r="D16" s="22" t="s">
        <v>185</v>
      </c>
      <c r="E16" s="22" t="s">
        <v>186</v>
      </c>
    </row>
    <row r="17" spans="1:5">
      <c r="A17" t="str">
        <f>IF(C17&lt;&gt;"", TEXT(COUNTIF($C$17:C17, "&lt;&gt;")-1, "000"), "")</f>
        <v>000</v>
      </c>
      <c r="B17" s="17">
        <v>45692</v>
      </c>
      <c r="C17" t="s">
        <v>187</v>
      </c>
      <c r="D17" t="s">
        <v>188</v>
      </c>
      <c r="E17" t="s">
        <v>189</v>
      </c>
    </row>
    <row r="18" spans="1:5">
      <c r="A18" t="str">
        <f>IF(C18&lt;&gt;"", TEXT(COUNTIF($C$17:C18, "&lt;&gt;")-1, "000"), "")</f>
        <v>001</v>
      </c>
      <c r="B18" s="24">
        <v>45692</v>
      </c>
      <c r="C18" t="s">
        <v>187</v>
      </c>
      <c r="D18" t="s">
        <v>190</v>
      </c>
      <c r="E18" t="s">
        <v>191</v>
      </c>
    </row>
    <row r="19" spans="1:5">
      <c r="A19" t="str">
        <f>IF(C19&lt;&gt;"", TEXT(COUNTIF($C$17:C19, "&lt;&gt;")-1, "000"), "")</f>
        <v>002</v>
      </c>
      <c r="B19" s="24">
        <v>45692</v>
      </c>
      <c r="C19" t="s">
        <v>187</v>
      </c>
      <c r="D19" t="s">
        <v>192</v>
      </c>
      <c r="E19" t="s">
        <v>193</v>
      </c>
    </row>
    <row r="20" spans="1:5">
      <c r="A20" t="str">
        <f>IF(C20&lt;&gt;"", TEXT(COUNTIF($C$17:C20, "&lt;&gt;")-1, "000"), "")</f>
        <v>003</v>
      </c>
      <c r="B20" s="17">
        <v>45699</v>
      </c>
      <c r="C20" t="s">
        <v>194</v>
      </c>
      <c r="D20" t="s">
        <v>195</v>
      </c>
      <c r="E20" t="s">
        <v>196</v>
      </c>
    </row>
    <row r="21" spans="1:5">
      <c r="A21" t="str">
        <f>IF(C21&lt;&gt;"", TEXT(COUNTIF($C$17:C21, "&lt;&gt;")-1, "000"), "")</f>
        <v>004</v>
      </c>
      <c r="B21" s="17">
        <v>45699</v>
      </c>
      <c r="C21" t="s">
        <v>194</v>
      </c>
      <c r="D21" t="s">
        <v>197</v>
      </c>
      <c r="E21" t="s">
        <v>198</v>
      </c>
    </row>
    <row r="22" spans="1:5">
      <c r="A22" t="str">
        <f>IF(C22&lt;&gt;"", TEXT(COUNTIF($C$17:C22, "&lt;&gt;")-1, "000"), "")</f>
        <v>005</v>
      </c>
      <c r="B22" s="17">
        <v>45699</v>
      </c>
      <c r="C22" t="s">
        <v>194</v>
      </c>
      <c r="D22" t="s">
        <v>199</v>
      </c>
      <c r="E22" t="s">
        <v>200</v>
      </c>
    </row>
    <row r="23" spans="1:5" ht="60" customHeight="1">
      <c r="A23" t="str">
        <f>IF(C23&lt;&gt;"", TEXT(COUNTIF($C$17:C23, "&lt;&gt;")-1, "000"), "")</f>
        <v>006</v>
      </c>
      <c r="B23" s="17">
        <v>45700</v>
      </c>
      <c r="C23" t="s">
        <v>194</v>
      </c>
      <c r="D23" s="28" t="s">
        <v>201</v>
      </c>
      <c r="E23" s="28" t="s">
        <v>202</v>
      </c>
    </row>
    <row r="24" spans="1:5">
      <c r="A24" t="str">
        <f>IF(C24&lt;&gt;"", TEXT(COUNTIF($C$17:C24, "&lt;&gt;")-1, "000"), "")</f>
        <v>007</v>
      </c>
      <c r="B24" s="17">
        <v>45726</v>
      </c>
      <c r="C24" t="s">
        <v>194</v>
      </c>
      <c r="D24" t="s">
        <v>203</v>
      </c>
      <c r="E24" t="s">
        <v>204</v>
      </c>
    </row>
    <row r="25" spans="1:5">
      <c r="A25" t="str">
        <f>IF(C25&lt;&gt;"", TEXT(COUNTIF($C$17:C25, "&lt;&gt;")-1, "000"), "")</f>
        <v>008</v>
      </c>
      <c r="B25" s="17">
        <v>45727</v>
      </c>
      <c r="C25" t="s">
        <v>194</v>
      </c>
      <c r="D25" t="s">
        <v>205</v>
      </c>
      <c r="E25" t="s">
        <v>206</v>
      </c>
    </row>
    <row r="26" spans="1:5">
      <c r="A26" t="str">
        <f>IF(C26&lt;&gt;"", TEXT(COUNTIF($C$17:C26, "&lt;&gt;")-1, "000"), "")</f>
        <v/>
      </c>
    </row>
    <row r="27" spans="1:5">
      <c r="A27" t="str">
        <f>IF(C27&lt;&gt;"", TEXT(COUNTIF($C$17:C27, "&lt;&gt;")-1, "000"), "")</f>
        <v/>
      </c>
    </row>
    <row r="28" spans="1:5">
      <c r="A28" t="str">
        <f>IF(C28&lt;&gt;"", TEXT(COUNTIF($C$17:C28, "&lt;&gt;")-1, "000"), "")</f>
        <v/>
      </c>
    </row>
    <row r="29" spans="1:5">
      <c r="A29" t="str">
        <f>IF(C29&lt;&gt;"", TEXT(COUNTIF($C$17:C29, "&lt;&gt;")-1, "000"), "")</f>
        <v/>
      </c>
    </row>
    <row r="30" spans="1:5">
      <c r="A30" t="str">
        <f>IF(C30&lt;&gt;"", TEXT(COUNTIF($C$17:C30, "&lt;&gt;")-1, "000"), "")</f>
        <v/>
      </c>
    </row>
    <row r="31" spans="1:5">
      <c r="A31" t="str">
        <f>IF(C31&lt;&gt;"", TEXT(COUNTIF($C$17:C31, "&lt;&gt;")-1, "000"), "")</f>
        <v/>
      </c>
    </row>
    <row r="32" spans="1:5">
      <c r="A32" t="str">
        <f>IF(C32&lt;&gt;"", TEXT(COUNTIF($C$17:C32, "&lt;&gt;")-1, "000"), "")</f>
        <v/>
      </c>
    </row>
    <row r="33" spans="1:1">
      <c r="A33" t="str">
        <f>IF(C33&lt;&gt;"", TEXT(COUNTIF($C$17:C33, "&lt;&gt;")-1, "000"), "")</f>
        <v/>
      </c>
    </row>
    <row r="34" spans="1:1">
      <c r="A34" t="str">
        <f>IF(C34&lt;&gt;"", TEXT(COUNTIF($C$17:C34, "&lt;&gt;")-1, "000"), "")</f>
        <v/>
      </c>
    </row>
    <row r="35" spans="1:1">
      <c r="A35" t="str">
        <f>IF(C35&lt;&gt;"", TEXT(COUNTIF($C$17:C35, "&lt;&gt;")-1, "000"), "")</f>
        <v/>
      </c>
    </row>
    <row r="36" spans="1:1">
      <c r="A36" t="str">
        <f>IF(C36&lt;&gt;"", TEXT(COUNTIF($C$17:C36, "&lt;&gt;")-1, "000"), "")</f>
        <v/>
      </c>
    </row>
    <row r="37" spans="1:1">
      <c r="A37" t="str">
        <f>IF(C37&lt;&gt;"", TEXT(COUNTIF($C$17:C37, "&lt;&gt;")-1, "000"), "")</f>
        <v/>
      </c>
    </row>
    <row r="38" spans="1:1">
      <c r="A38" t="str">
        <f>IF(C38&lt;&gt;"", TEXT(COUNTIF($C$17:C38, "&lt;&gt;")-1, "000"), "")</f>
        <v/>
      </c>
    </row>
    <row r="39" spans="1:1">
      <c r="A39" t="str">
        <f>IF(C39&lt;&gt;"", TEXT(COUNTIF($C$17:C39, "&lt;&gt;")-1, "000"), "")</f>
        <v/>
      </c>
    </row>
    <row r="40" spans="1:1">
      <c r="A40" t="str">
        <f>IF(C40&lt;&gt;"", TEXT(COUNTIF($C$17:C40, "&lt;&gt;")-1, "000"), "")</f>
        <v/>
      </c>
    </row>
    <row r="41" spans="1:1">
      <c r="A41" t="str">
        <f>IF(C41&lt;&gt;"", TEXT(COUNTIF($C$17:C41, "&lt;&gt;")-1, "000"), "")</f>
        <v/>
      </c>
    </row>
    <row r="42" spans="1:1">
      <c r="A42" t="str">
        <f>IF(C42&lt;&gt;"", TEXT(COUNTIF($C$17:C42, "&lt;&gt;")-1, "000"), "")</f>
        <v/>
      </c>
    </row>
    <row r="43" spans="1:1">
      <c r="A43" t="str">
        <f>IF(C43&lt;&gt;"", TEXT(COUNTIF($C$17:C43, "&lt;&gt;")-1, "000"), "")</f>
        <v/>
      </c>
    </row>
    <row r="44" spans="1:1">
      <c r="A44" t="str">
        <f>IF(C44&lt;&gt;"", TEXT(COUNTIF($C$17:C44, "&lt;&gt;")-1, "000"), "")</f>
        <v/>
      </c>
    </row>
    <row r="45" spans="1:1">
      <c r="A45" t="str">
        <f>IF(C45&lt;&gt;"", TEXT(COUNTIF($C$17:C45, "&lt;&gt;")-1, "000"), "")</f>
        <v/>
      </c>
    </row>
    <row r="46" spans="1:1">
      <c r="A46" t="str">
        <f>IF(C46&lt;&gt;"", TEXT(COUNTIF($C$17:C46, "&lt;&gt;")-1, "000"), "")</f>
        <v/>
      </c>
    </row>
    <row r="47" spans="1:1">
      <c r="A47" t="str">
        <f>IF(C47&lt;&gt;"", TEXT(COUNTIF($C$17:C47, "&lt;&gt;")-1, "000"), "")</f>
        <v/>
      </c>
    </row>
    <row r="48" spans="1:1">
      <c r="A48" t="str">
        <f>IF(C48&lt;&gt;"", TEXT(COUNTIF($C$17:C48, "&lt;&gt;")-1, "000"), "")</f>
        <v/>
      </c>
    </row>
    <row r="49" spans="1:1">
      <c r="A49" t="str">
        <f>IF(C49&lt;&gt;"", TEXT(COUNTIF($C$17:C49, "&lt;&gt;")-1, "000"), "")</f>
        <v/>
      </c>
    </row>
    <row r="50" spans="1:1">
      <c r="A50" t="str">
        <f>IF(C50&lt;&gt;"", TEXT(COUNTIF($C$17:C50, "&lt;&gt;")-1, "000"), "")</f>
        <v/>
      </c>
    </row>
    <row r="51" spans="1:1">
      <c r="A51" t="str">
        <f>IF(C51&lt;&gt;"", TEXT(COUNTIF($C$17:C51, "&lt;&gt;")-1, "000"), "")</f>
        <v/>
      </c>
    </row>
    <row r="52" spans="1:1">
      <c r="A52" t="str">
        <f>IF(C52&lt;&gt;"", TEXT(COUNTIF($C$17:C52, "&lt;&gt;")-1, "000"), "")</f>
        <v/>
      </c>
    </row>
    <row r="53" spans="1:1">
      <c r="A53" t="str">
        <f>IF(C53&lt;&gt;"", TEXT(COUNTIF($C$17:C53, "&lt;&gt;")-1, "000"), "")</f>
        <v/>
      </c>
    </row>
    <row r="54" spans="1:1">
      <c r="A54" t="str">
        <f>IF(C54&lt;&gt;"", TEXT(COUNTIF($C$17:C54, "&lt;&gt;")-1, "000"), "")</f>
        <v/>
      </c>
    </row>
    <row r="55" spans="1:1">
      <c r="A55" t="str">
        <f>IF(C55&lt;&gt;"", TEXT(COUNTIF($C$17:C55, "&lt;&gt;")-1, "000"), "")</f>
        <v/>
      </c>
    </row>
    <row r="56" spans="1:1">
      <c r="A56" t="str">
        <f>IF(C56&lt;&gt;"", TEXT(COUNTIF($C$17:C56, "&lt;&gt;")-1, "000"), "")</f>
        <v/>
      </c>
    </row>
    <row r="57" spans="1:1">
      <c r="A57" t="str">
        <f>IF(C57&lt;&gt;"", TEXT(COUNTIF($C$17:C57, "&lt;&gt;")-1, "000"), "")</f>
        <v/>
      </c>
    </row>
    <row r="58" spans="1:1">
      <c r="A58" t="str">
        <f>IF(C58&lt;&gt;"", TEXT(COUNTIF($C$17:C58, "&lt;&gt;")-1, "000"), "")</f>
        <v/>
      </c>
    </row>
    <row r="59" spans="1:1">
      <c r="A59" t="str">
        <f>IF(C59&lt;&gt;"", TEXT(COUNTIF($C$17:C59, "&lt;&gt;")-1, "000"), "")</f>
        <v/>
      </c>
    </row>
    <row r="60" spans="1:1">
      <c r="A60" t="str">
        <f>IF(C60&lt;&gt;"", TEXT(COUNTIF($C$17:C60, "&lt;&gt;")-1, "000"), "")</f>
        <v/>
      </c>
    </row>
    <row r="61" spans="1:1">
      <c r="A61" t="str">
        <f>IF(C61&lt;&gt;"", TEXT(COUNTIF($C$17:C61, "&lt;&gt;")-1, "000"), "")</f>
        <v/>
      </c>
    </row>
    <row r="62" spans="1:1">
      <c r="A62" t="str">
        <f>IF(C62&lt;&gt;"", TEXT(COUNTIF($C$17:C62, "&lt;&gt;")-1, "000"), "")</f>
        <v/>
      </c>
    </row>
    <row r="63" spans="1:1">
      <c r="A63" t="str">
        <f>IF(C63&lt;&gt;"", TEXT(COUNTIF($C$17:C63, "&lt;&gt;")-1, "000"), "")</f>
        <v/>
      </c>
    </row>
    <row r="64" spans="1:1">
      <c r="A64" t="str">
        <f>IF(C64&lt;&gt;"", TEXT(COUNTIF($C$17:C64, "&lt;&gt;")-1, "000"), "")</f>
        <v/>
      </c>
    </row>
    <row r="65" spans="1:1">
      <c r="A65" t="str">
        <f>IF(C65&lt;&gt;"", TEXT(COUNTIF($C$17:C65, "&lt;&gt;")-1, "000"), "")</f>
        <v/>
      </c>
    </row>
    <row r="66" spans="1:1">
      <c r="A66" t="str">
        <f>IF(C66&lt;&gt;"", TEXT(COUNTIF($C$17:C66, "&lt;&gt;")-1, "000"), "")</f>
        <v/>
      </c>
    </row>
    <row r="67" spans="1:1">
      <c r="A67" t="str">
        <f>IF(C67&lt;&gt;"", TEXT(COUNTIF($C$17:C67, "&lt;&gt;")-1, "000"), "")</f>
        <v/>
      </c>
    </row>
    <row r="68" spans="1:1">
      <c r="A68" t="str">
        <f>IF(C68&lt;&gt;"", TEXT(COUNTIF($C$17:C68, "&lt;&gt;")-1, "000"), "")</f>
        <v/>
      </c>
    </row>
    <row r="69" spans="1:1">
      <c r="A69" t="str">
        <f>IF(C69&lt;&gt;"", TEXT(COUNTIF($C$17:C69, "&lt;&gt;")-1, "000"), "")</f>
        <v/>
      </c>
    </row>
    <row r="70" spans="1:1">
      <c r="A70" t="str">
        <f>IF(C70&lt;&gt;"", TEXT(COUNTIF($C$17:C70, "&lt;&gt;")-1, "000"), "")</f>
        <v/>
      </c>
    </row>
    <row r="71" spans="1:1">
      <c r="A71" t="str">
        <f>IF(C71&lt;&gt;"", TEXT(COUNTIF($C$17:C71, "&lt;&gt;")-1, "000"), "")</f>
        <v/>
      </c>
    </row>
    <row r="72" spans="1:1">
      <c r="A72" t="str">
        <f>IF(C72&lt;&gt;"", TEXT(COUNTIF($C$17:C72, "&lt;&gt;")-1, "000"), "")</f>
        <v/>
      </c>
    </row>
    <row r="73" spans="1:1">
      <c r="A73" t="str">
        <f>IF(C73&lt;&gt;"", TEXT(COUNTIF($C$17:C73, "&lt;&gt;")-1, "000"), "")</f>
        <v/>
      </c>
    </row>
    <row r="74" spans="1:1">
      <c r="A74" t="str">
        <f>IF(C74&lt;&gt;"", TEXT(COUNTIF($C$17:C74, "&lt;&gt;")-1, "000"), "")</f>
        <v/>
      </c>
    </row>
    <row r="75" spans="1:1">
      <c r="A75" t="str">
        <f>IF(C75&lt;&gt;"", TEXT(COUNTIF($C$17:C75, "&lt;&gt;")-1, "000"), "")</f>
        <v/>
      </c>
    </row>
    <row r="76" spans="1:1">
      <c r="A76" t="str">
        <f>IF(C76&lt;&gt;"", TEXT(COUNTIF($C$17:C76, "&lt;&gt;")-1, "000"), "")</f>
        <v/>
      </c>
    </row>
    <row r="77" spans="1:1">
      <c r="A77" t="str">
        <f>IF(C77&lt;&gt;"", TEXT(COUNTIF($C$17:C77, "&lt;&gt;")-1, "000"), "")</f>
        <v/>
      </c>
    </row>
    <row r="78" spans="1:1">
      <c r="A78" t="str">
        <f>IF(C78&lt;&gt;"", TEXT(COUNTIF($C$17:C78, "&lt;&gt;")-1, "000"), "")</f>
        <v/>
      </c>
    </row>
    <row r="79" spans="1:1">
      <c r="A79" t="str">
        <f>IF(C79&lt;&gt;"", TEXT(COUNTIF($C$17:C79, "&lt;&gt;")-1, "000"), "")</f>
        <v/>
      </c>
    </row>
    <row r="80" spans="1:1">
      <c r="A80" t="str">
        <f>IF(C80&lt;&gt;"", TEXT(COUNTIF($C$17:C80, "&lt;&gt;")-1, "000"), "")</f>
        <v/>
      </c>
    </row>
    <row r="81" spans="1:1">
      <c r="A81" t="str">
        <f>IF(C81&lt;&gt;"", TEXT(COUNTIF($C$17:C81, "&lt;&gt;")-1, "000"), "")</f>
        <v/>
      </c>
    </row>
    <row r="82" spans="1:1">
      <c r="A82" t="str">
        <f>IF(C82&lt;&gt;"", TEXT(COUNTIF($C$17:C82, "&lt;&gt;")-1, "000"), "")</f>
        <v/>
      </c>
    </row>
    <row r="83" spans="1:1">
      <c r="A83" t="str">
        <f>IF(C83&lt;&gt;"", TEXT(COUNTIF($C$17:C83, "&lt;&gt;")-1, "000"), "")</f>
        <v/>
      </c>
    </row>
    <row r="84" spans="1:1">
      <c r="A84" t="str">
        <f>IF(C84&lt;&gt;"", TEXT(COUNTIF($C$17:C84, "&lt;&gt;")-1, "000"), "")</f>
        <v/>
      </c>
    </row>
    <row r="85" spans="1:1">
      <c r="A85" t="str">
        <f>IF(C85&lt;&gt;"", TEXT(COUNTIF($C$17:C85, "&lt;&gt;")-1, "000"), "")</f>
        <v/>
      </c>
    </row>
    <row r="86" spans="1:1">
      <c r="A86" t="str">
        <f>IF(C86&lt;&gt;"", TEXT(COUNTIF($C$17:C86, "&lt;&gt;")-1, "000"), "")</f>
        <v/>
      </c>
    </row>
    <row r="87" spans="1:1">
      <c r="A87" t="str">
        <f>IF(C87&lt;&gt;"", TEXT(COUNTIF($C$17:C87, "&lt;&gt;")-1, "000"), "")</f>
        <v/>
      </c>
    </row>
    <row r="88" spans="1:1">
      <c r="A88" t="str">
        <f>IF(C88&lt;&gt;"", TEXT(COUNTIF($C$17:C88, "&lt;&gt;")-1, "000"), "")</f>
        <v/>
      </c>
    </row>
    <row r="89" spans="1:1">
      <c r="A89" t="str">
        <f>IF(C89&lt;&gt;"", TEXT(COUNTIF($C$17:C89, "&lt;&gt;")-1, "000"), "")</f>
        <v/>
      </c>
    </row>
    <row r="90" spans="1:1">
      <c r="A90" t="str">
        <f>IF(C90&lt;&gt;"", TEXT(COUNTIF($C$17:C90, "&lt;&gt;")-1, "000"), "")</f>
        <v/>
      </c>
    </row>
    <row r="91" spans="1:1">
      <c r="A91" t="str">
        <f>IF(C91&lt;&gt;"", TEXT(COUNTIF($C$17:C91, "&lt;&gt;")-1, "000"), "")</f>
        <v/>
      </c>
    </row>
    <row r="92" spans="1:1">
      <c r="A92" t="str">
        <f>IF(C92&lt;&gt;"", TEXT(COUNTIF($C$17:C92, "&lt;&gt;")-1, "000"), "")</f>
        <v/>
      </c>
    </row>
    <row r="93" spans="1:1">
      <c r="A93" t="str">
        <f>IF(C93&lt;&gt;"", TEXT(COUNTIF($C$17:C93, "&lt;&gt;")-1, "000"), "")</f>
        <v/>
      </c>
    </row>
    <row r="94" spans="1:1">
      <c r="A94" t="str">
        <f>IF(C94&lt;&gt;"", TEXT(COUNTIF($C$17:C94, "&lt;&gt;")-1, "000"), "")</f>
        <v/>
      </c>
    </row>
    <row r="95" spans="1:1">
      <c r="A95" t="str">
        <f>IF(C95&lt;&gt;"", TEXT(COUNTIF($C$17:C95, "&lt;&gt;")-1, "000"), "")</f>
        <v/>
      </c>
    </row>
    <row r="96" spans="1:1">
      <c r="A96" t="str">
        <f>IF(C96&lt;&gt;"", TEXT(COUNTIF($C$17:C96, "&lt;&gt;")-1, "000"), "")</f>
        <v/>
      </c>
    </row>
    <row r="97" spans="1:1">
      <c r="A97" t="str">
        <f>IF(C97&lt;&gt;"", TEXT(COUNTIF($C$17:C97, "&lt;&gt;")-1, "000"), "")</f>
        <v/>
      </c>
    </row>
    <row r="98" spans="1:1">
      <c r="A98" t="str">
        <f>IF(C98&lt;&gt;"", TEXT(COUNTIF($C$17:C98, "&lt;&gt;")-1, "000"), "")</f>
        <v/>
      </c>
    </row>
    <row r="99" spans="1:1">
      <c r="A99" t="str">
        <f>IF(C99&lt;&gt;"", TEXT(COUNTIF($C$17:C99, "&lt;&gt;")-1, "000"), "")</f>
        <v/>
      </c>
    </row>
    <row r="100" spans="1:1">
      <c r="A100" t="str">
        <f>IF(C100&lt;&gt;"", TEXT(COUNTIF($C$17:C100, "&lt;&gt;")-1, "000"), "")</f>
        <v/>
      </c>
    </row>
    <row r="101" spans="1:1">
      <c r="A101" t="str">
        <f>IF(C101&lt;&gt;"", TEXT(COUNTIF($C$17:C101, "&lt;&gt;")-1, "000"), "")</f>
        <v/>
      </c>
    </row>
    <row r="102" spans="1:1">
      <c r="A102" t="str">
        <f>IF(C102&lt;&gt;"", TEXT(COUNTIF($C$17:C102, "&lt;&gt;")-1, "000"), "")</f>
        <v/>
      </c>
    </row>
    <row r="103" spans="1:1">
      <c r="A103" t="str">
        <f>IF(C103&lt;&gt;"", TEXT(COUNTIF($C$17:C103, "&lt;&gt;")-1, "000"), "")</f>
        <v/>
      </c>
    </row>
    <row r="104" spans="1:1">
      <c r="A104" t="str">
        <f>IF(C104&lt;&gt;"", TEXT(COUNTIF($C$17:C104, "&lt;&gt;")-1, "000"), "")</f>
        <v/>
      </c>
    </row>
    <row r="105" spans="1:1">
      <c r="A105" t="str">
        <f>IF(C105&lt;&gt;"", TEXT(COUNTIF($C$17:C105, "&lt;&gt;")-1, "000"), "")</f>
        <v/>
      </c>
    </row>
    <row r="106" spans="1:1">
      <c r="A106" t="str">
        <f>IF(C106&lt;&gt;"", TEXT(COUNTIF($C$17:C106, "&lt;&gt;")-1, "000"), "")</f>
        <v/>
      </c>
    </row>
    <row r="107" spans="1:1">
      <c r="A107" t="str">
        <f>IF(C107&lt;&gt;"", TEXT(COUNTIF($C$17:C107, "&lt;&gt;")-1, "000"), "")</f>
        <v/>
      </c>
    </row>
    <row r="108" spans="1:1">
      <c r="A108" t="str">
        <f>IF(C108&lt;&gt;"", TEXT(COUNTIF($C$17:C108, "&lt;&gt;")-1, "000"), "")</f>
        <v/>
      </c>
    </row>
    <row r="109" spans="1:1">
      <c r="A109" t="str">
        <f>IF(C109&lt;&gt;"", TEXT(COUNTIF($C$17:C109, "&lt;&gt;")-1, "000"), "")</f>
        <v/>
      </c>
    </row>
    <row r="110" spans="1:1">
      <c r="A110" t="str">
        <f>IF(C110&lt;&gt;"", TEXT(COUNTIF($C$17:C110, "&lt;&gt;")-1, "000"), "")</f>
        <v/>
      </c>
    </row>
    <row r="111" spans="1:1">
      <c r="A111" t="str">
        <f>IF(C111&lt;&gt;"", TEXT(COUNTIF($C$17:C111, "&lt;&gt;")-1, "000"), "")</f>
        <v/>
      </c>
    </row>
    <row r="112" spans="1:1">
      <c r="A112" t="str">
        <f>IF(C112&lt;&gt;"", TEXT(COUNTIF($C$17:C112, "&lt;&gt;")-1, "000"), "")</f>
        <v/>
      </c>
    </row>
    <row r="113" spans="1:1">
      <c r="A113" t="str">
        <f>IF(C113&lt;&gt;"", TEXT(COUNTIF($C$17:C113, "&lt;&gt;")-1, "000"), "")</f>
        <v/>
      </c>
    </row>
    <row r="114" spans="1:1">
      <c r="A114" t="str">
        <f>IF(C114&lt;&gt;"", TEXT(COUNTIF($C$17:C114, "&lt;&gt;")-1, "000"), "")</f>
        <v/>
      </c>
    </row>
    <row r="115" spans="1:1">
      <c r="A115" t="str">
        <f>IF(C115&lt;&gt;"", TEXT(COUNTIF($C$17:C115, "&lt;&gt;")-1, "000"), "")</f>
        <v/>
      </c>
    </row>
    <row r="116" spans="1:1">
      <c r="A116" t="str">
        <f>IF(C116&lt;&gt;"", TEXT(COUNTIF($C$17:C116, "&lt;&gt;")-1, "000"), "")</f>
        <v/>
      </c>
    </row>
    <row r="117" spans="1:1">
      <c r="A117" t="str">
        <f>IF(C117&lt;&gt;"", TEXT(COUNTIF($C$17:C117, "&lt;&gt;")-1, "000"), "")</f>
        <v/>
      </c>
    </row>
    <row r="118" spans="1:1">
      <c r="A118" t="str">
        <f>IF(C118&lt;&gt;"", TEXT(COUNTIF($C$17:C118, "&lt;&gt;")-1, "000"), "")</f>
        <v/>
      </c>
    </row>
    <row r="119" spans="1:1">
      <c r="A119" t="str">
        <f>IF(C119&lt;&gt;"", TEXT(COUNTIF($C$17:C119, "&lt;&gt;")-1, "000"), "")</f>
        <v/>
      </c>
    </row>
    <row r="120" spans="1:1">
      <c r="A120" t="str">
        <f>IF(C120&lt;&gt;"", TEXT(COUNTIF($C$17:C120, "&lt;&gt;")-1, "000"), "")</f>
        <v/>
      </c>
    </row>
    <row r="121" spans="1:1">
      <c r="A121" t="str">
        <f>IF(C121&lt;&gt;"", TEXT(COUNTIF($C$17:C121, "&lt;&gt;")-1, "000"), "")</f>
        <v/>
      </c>
    </row>
    <row r="122" spans="1:1">
      <c r="A122" t="str">
        <f>IF(C122&lt;&gt;"", TEXT(COUNTIF($C$17:C122, "&lt;&gt;")-1, "000"), "")</f>
        <v/>
      </c>
    </row>
    <row r="123" spans="1:1">
      <c r="A123" t="str">
        <f>IF(C123&lt;&gt;"", TEXT(COUNTIF($C$17:C123, "&lt;&gt;")-1, "000"), "")</f>
        <v/>
      </c>
    </row>
    <row r="124" spans="1:1">
      <c r="A124" t="str">
        <f>IF(C124&lt;&gt;"", TEXT(COUNTIF($C$17:C124, "&lt;&gt;")-1, "000"), "")</f>
        <v/>
      </c>
    </row>
    <row r="125" spans="1:1">
      <c r="A125" t="str">
        <f>IF(C125&lt;&gt;"", TEXT(COUNTIF($C$17:C125, "&lt;&gt;")-1, "000"), "")</f>
        <v/>
      </c>
    </row>
    <row r="126" spans="1:1">
      <c r="A126" t="str">
        <f>IF(C126&lt;&gt;"", TEXT(COUNTIF($C$17:C126, "&lt;&gt;")-1, "000"), "")</f>
        <v/>
      </c>
    </row>
    <row r="127" spans="1:1">
      <c r="A127" t="str">
        <f>IF(C127&lt;&gt;"", TEXT(COUNTIF($C$17:C127, "&lt;&gt;")-1, "000"), "")</f>
        <v/>
      </c>
    </row>
    <row r="128" spans="1:1">
      <c r="A128" t="str">
        <f>IF(C128&lt;&gt;"", TEXT(COUNTIF($C$17:C128, "&lt;&gt;")-1, "000"), "")</f>
        <v/>
      </c>
    </row>
    <row r="129" spans="1:1">
      <c r="A129" t="str">
        <f>IF(C129&lt;&gt;"", TEXT(COUNTIF($C$17:C129, "&lt;&gt;")-1, "000"), "")</f>
        <v/>
      </c>
    </row>
    <row r="130" spans="1:1">
      <c r="A130" t="str">
        <f>IF(C130&lt;&gt;"", TEXT(COUNTIF($C$17:C130, "&lt;&gt;")-1, "000"), "")</f>
        <v/>
      </c>
    </row>
    <row r="131" spans="1:1">
      <c r="A131" t="str">
        <f>IF(C131&lt;&gt;"", TEXT(COUNTIF($C$17:C131, "&lt;&gt;")-1, "000"), "")</f>
        <v/>
      </c>
    </row>
    <row r="132" spans="1:1">
      <c r="A132" t="str">
        <f>IF(C132&lt;&gt;"", TEXT(COUNTIF($C$17:C132, "&lt;&gt;")-1, "000"), "")</f>
        <v/>
      </c>
    </row>
    <row r="133" spans="1:1">
      <c r="A133" t="str">
        <f>IF(C133&lt;&gt;"", TEXT(COUNTIF($C$17:C133, "&lt;&gt;")-1, "000"), "")</f>
        <v/>
      </c>
    </row>
    <row r="134" spans="1:1">
      <c r="A134" t="str">
        <f>IF(C134&lt;&gt;"", TEXT(COUNTIF($C$17:C134, "&lt;&gt;")-1, "000"), "")</f>
        <v/>
      </c>
    </row>
    <row r="135" spans="1:1">
      <c r="A135" t="str">
        <f>IF(C135&lt;&gt;"", TEXT(COUNTIF($C$17:C135, "&lt;&gt;")-1, "000"), "")</f>
        <v/>
      </c>
    </row>
    <row r="136" spans="1:1">
      <c r="A136" t="str">
        <f>IF(C136&lt;&gt;"", TEXT(COUNTIF($C$17:C136, "&lt;&gt;")-1, "000"), "")</f>
        <v/>
      </c>
    </row>
    <row r="137" spans="1:1">
      <c r="A137" t="str">
        <f>IF(C137&lt;&gt;"", TEXT(COUNTIF($C$17:C137, "&lt;&gt;")-1, "000"), "")</f>
        <v/>
      </c>
    </row>
    <row r="138" spans="1:1">
      <c r="A138" t="str">
        <f>IF(C138&lt;&gt;"", TEXT(COUNTIF($C$17:C138, "&lt;&gt;")-1, "000"), "")</f>
        <v/>
      </c>
    </row>
    <row r="139" spans="1:1">
      <c r="A139" t="str">
        <f>IF(C139&lt;&gt;"", TEXT(COUNTIF($C$17:C139, "&lt;&gt;")-1, "000"), "")</f>
        <v/>
      </c>
    </row>
    <row r="140" spans="1:1">
      <c r="A140" t="str">
        <f>IF(C140&lt;&gt;"", TEXT(COUNTIF($C$17:C140, "&lt;&gt;")-1, "000"), "")</f>
        <v/>
      </c>
    </row>
    <row r="141" spans="1:1">
      <c r="A141" t="str">
        <f>IF(C141&lt;&gt;"", TEXT(COUNTIF($C$17:C141, "&lt;&gt;")-1, "000"), "")</f>
        <v/>
      </c>
    </row>
    <row r="142" spans="1:1">
      <c r="A142" t="str">
        <f>IF(C142&lt;&gt;"", TEXT(COUNTIF($C$17:C142, "&lt;&gt;")-1, "000"), "")</f>
        <v/>
      </c>
    </row>
    <row r="143" spans="1:1">
      <c r="A143" t="str">
        <f>IF(C143&lt;&gt;"", TEXT(COUNTIF($C$17:C143, "&lt;&gt;")-1, "000"), "")</f>
        <v/>
      </c>
    </row>
    <row r="144" spans="1:1">
      <c r="A144" t="str">
        <f>IF(C144&lt;&gt;"", TEXT(COUNTIF($C$17:C144, "&lt;&gt;")-1, "000"), "")</f>
        <v/>
      </c>
    </row>
    <row r="145" spans="1:1">
      <c r="A145" t="str">
        <f>IF(C145&lt;&gt;"", TEXT(COUNTIF($C$17:C145, "&lt;&gt;")-1, "000"), "")</f>
        <v/>
      </c>
    </row>
    <row r="146" spans="1:1">
      <c r="A146" t="str">
        <f>IF(C146&lt;&gt;"", TEXT(COUNTIF($C$17:C146, "&lt;&gt;")-1, "000"), "")</f>
        <v/>
      </c>
    </row>
    <row r="147" spans="1:1">
      <c r="A147" t="str">
        <f>IF(C147&lt;&gt;"", TEXT(COUNTIF($C$17:C147, "&lt;&gt;")-1, "000"), "")</f>
        <v/>
      </c>
    </row>
    <row r="148" spans="1:1">
      <c r="A148" t="str">
        <f>IF(C148&lt;&gt;"", TEXT(COUNTIF($C$17:C148, "&lt;&gt;")-1, "000"), "")</f>
        <v/>
      </c>
    </row>
    <row r="149" spans="1:1">
      <c r="A149" t="str">
        <f>IF(C149&lt;&gt;"", TEXT(COUNTIF($C$17:C149, "&lt;&gt;")-1, "000"), "")</f>
        <v/>
      </c>
    </row>
    <row r="150" spans="1:1">
      <c r="A150" t="str">
        <f>IF(C150&lt;&gt;"", TEXT(COUNTIF($C$17:C150, "&lt;&gt;")-1, "000"), "")</f>
        <v/>
      </c>
    </row>
    <row r="151" spans="1:1">
      <c r="A151" t="str">
        <f>IF(C151&lt;&gt;"", TEXT(COUNTIF($C$17:C151, "&lt;&gt;")-1, "000"), "")</f>
        <v/>
      </c>
    </row>
    <row r="152" spans="1:1">
      <c r="A152" t="str">
        <f>IF(C152&lt;&gt;"", TEXT(COUNTIF($C$17:C152, "&lt;&gt;")-1, "000"), "")</f>
        <v/>
      </c>
    </row>
    <row r="153" spans="1:1">
      <c r="A153" t="str">
        <f>IF(C153&lt;&gt;"", TEXT(COUNTIF($C$17:C153, "&lt;&gt;")-1, "000"), "")</f>
        <v/>
      </c>
    </row>
    <row r="154" spans="1:1">
      <c r="A154" t="str">
        <f>IF(C154&lt;&gt;"", TEXT(COUNTIF($C$17:C154, "&lt;&gt;")-1, "000"), "")</f>
        <v/>
      </c>
    </row>
    <row r="155" spans="1:1">
      <c r="A155" t="str">
        <f>IF(C155&lt;&gt;"", TEXT(COUNTIF($C$17:C155, "&lt;&gt;")-1, "000"), "")</f>
        <v/>
      </c>
    </row>
    <row r="156" spans="1:1">
      <c r="A156" t="str">
        <f>IF(C156&lt;&gt;"", TEXT(COUNTIF($C$17:C156, "&lt;&gt;")-1, "000"), "")</f>
        <v/>
      </c>
    </row>
    <row r="157" spans="1:1">
      <c r="A157" t="str">
        <f>IF(C157&lt;&gt;"", TEXT(COUNTIF($C$17:C157, "&lt;&gt;")-1, "000"), "")</f>
        <v/>
      </c>
    </row>
    <row r="158" spans="1:1">
      <c r="A158" t="str">
        <f>IF(C158&lt;&gt;"", TEXT(COUNTIF($C$17:C158, "&lt;&gt;")-1, "000"), "")</f>
        <v/>
      </c>
    </row>
    <row r="159" spans="1:1">
      <c r="A159" t="str">
        <f>IF(C159&lt;&gt;"", TEXT(COUNTIF($C$17:C159, "&lt;&gt;")-1, "000"), "")</f>
        <v/>
      </c>
    </row>
    <row r="160" spans="1:1">
      <c r="A160" t="str">
        <f>IF(C160&lt;&gt;"", TEXT(COUNTIF($C$17:C160, "&lt;&gt;")-1, "000"), "")</f>
        <v/>
      </c>
    </row>
    <row r="161" spans="1:1">
      <c r="A161" t="str">
        <f>IF(C161&lt;&gt;"", TEXT(COUNTIF($C$17:C161, "&lt;&gt;")-1, "000"), "")</f>
        <v/>
      </c>
    </row>
    <row r="162" spans="1:1">
      <c r="A162" t="str">
        <f>IF(C162&lt;&gt;"", TEXT(COUNTIF($C$17:C162, "&lt;&gt;")-1, "000"), "")</f>
        <v/>
      </c>
    </row>
    <row r="163" spans="1:1">
      <c r="A163" t="str">
        <f>IF(C163&lt;&gt;"", TEXT(COUNTIF($C$17:C163, "&lt;&gt;")-1, "000"), "")</f>
        <v/>
      </c>
    </row>
    <row r="164" spans="1:1">
      <c r="A164" t="str">
        <f>IF(C164&lt;&gt;"", TEXT(COUNTIF($C$17:C164, "&lt;&gt;")-1, "000"), "")</f>
        <v/>
      </c>
    </row>
    <row r="165" spans="1:1">
      <c r="A165" t="str">
        <f>IF(C165&lt;&gt;"", TEXT(COUNTIF($C$17:C165, "&lt;&gt;")-1, "000"), "")</f>
        <v/>
      </c>
    </row>
    <row r="166" spans="1:1">
      <c r="A166" t="str">
        <f>IF(C166&lt;&gt;"", TEXT(COUNTIF($C$17:C166, "&lt;&gt;")-1, "000"), "")</f>
        <v/>
      </c>
    </row>
    <row r="167" spans="1:1">
      <c r="A167" t="str">
        <f>IF(C167&lt;&gt;"", TEXT(COUNTIF($C$17:C167, "&lt;&gt;")-1, "000"), "")</f>
        <v/>
      </c>
    </row>
    <row r="168" spans="1:1">
      <c r="A168" t="str">
        <f>IF(C168&lt;&gt;"", TEXT(COUNTIF($C$17:C168, "&lt;&gt;")-1, "000"), "")</f>
        <v/>
      </c>
    </row>
    <row r="169" spans="1:1">
      <c r="A169" t="str">
        <f>IF(C169&lt;&gt;"", TEXT(COUNTIF($C$17:C169, "&lt;&gt;")-1, "000"), "")</f>
        <v/>
      </c>
    </row>
    <row r="170" spans="1:1">
      <c r="A170" t="str">
        <f>IF(C170&lt;&gt;"", TEXT(COUNTIF($C$17:C170, "&lt;&gt;")-1, "000"), "")</f>
        <v/>
      </c>
    </row>
    <row r="171" spans="1:1">
      <c r="A171" t="str">
        <f>IF(C171&lt;&gt;"", TEXT(COUNTIF($C$17:C171, "&lt;&gt;")-1, "000"), "")</f>
        <v/>
      </c>
    </row>
    <row r="172" spans="1:1">
      <c r="A172" t="str">
        <f>IF(C172&lt;&gt;"", TEXT(COUNTIF($C$17:C172, "&lt;&gt;")-1, "000"), "")</f>
        <v/>
      </c>
    </row>
    <row r="173" spans="1:1">
      <c r="A173" t="str">
        <f>IF(C173&lt;&gt;"", TEXT(COUNTIF($C$17:C173, "&lt;&gt;")-1, "000"), "")</f>
        <v/>
      </c>
    </row>
    <row r="174" spans="1:1">
      <c r="A174" t="str">
        <f>IF(C174&lt;&gt;"", TEXT(COUNTIF($C$17:C174, "&lt;&gt;")-1, "000"), "")</f>
        <v/>
      </c>
    </row>
  </sheetData>
  <mergeCells count="1">
    <mergeCell ref="A7:E7"/>
  </mergeCells>
  <pageMargins left="0.7" right="0.7" top="0.75" bottom="0.75" header="0.3" footer="0.3"/>
  <pageSetup paperSize="9"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429C-B589-423A-BE46-58B8479CCE46}">
  <sheetPr filterMode="1"/>
  <dimension ref="A1:I83"/>
  <sheetViews>
    <sheetView workbookViewId="0">
      <pane ySplit="1" topLeftCell="A13" activePane="bottomLeft" state="frozen"/>
      <selection pane="bottomLeft" activeCell="I28" sqref="I28"/>
    </sheetView>
  </sheetViews>
  <sheetFormatPr defaultRowHeight="15"/>
  <cols>
    <col min="2" max="2" width="79.28515625" customWidth="1"/>
    <col min="3" max="3" width="16.28515625" customWidth="1"/>
    <col min="4" max="4" width="27.5703125" customWidth="1"/>
    <col min="5" max="5" width="11.85546875" customWidth="1"/>
    <col min="6" max="6" width="12.28515625" customWidth="1"/>
    <col min="7" max="7" width="12.140625" customWidth="1"/>
    <col min="8" max="8" width="33.28515625" customWidth="1"/>
    <col min="9" max="9" width="22.28515625" customWidth="1"/>
  </cols>
  <sheetData>
    <row r="1" spans="1:9">
      <c r="A1" s="1" t="s">
        <v>207</v>
      </c>
      <c r="B1" s="1" t="s">
        <v>208</v>
      </c>
      <c r="C1" s="1" t="s">
        <v>209</v>
      </c>
      <c r="D1" s="1" t="s">
        <v>210</v>
      </c>
      <c r="E1" s="1" t="s">
        <v>211</v>
      </c>
      <c r="F1" s="1" t="s">
        <v>212</v>
      </c>
      <c r="G1" s="1" t="s">
        <v>213</v>
      </c>
      <c r="H1" s="1" t="s">
        <v>214</v>
      </c>
      <c r="I1" s="1" t="s">
        <v>215</v>
      </c>
    </row>
    <row r="2" spans="1:9" ht="76.5" hidden="1">
      <c r="A2" t="s">
        <v>216</v>
      </c>
      <c r="B2" s="28" t="s">
        <v>217</v>
      </c>
      <c r="C2" t="s">
        <v>194</v>
      </c>
      <c r="D2" s="66" t="s">
        <v>32</v>
      </c>
      <c r="F2" s="103">
        <v>45807</v>
      </c>
      <c r="G2" t="s">
        <v>218</v>
      </c>
      <c r="H2" s="28" t="s">
        <v>219</v>
      </c>
      <c r="I2" s="103">
        <v>45804</v>
      </c>
    </row>
    <row r="3" spans="1:9" ht="30.75">
      <c r="A3" s="254" t="s">
        <v>216</v>
      </c>
      <c r="B3" s="255" t="s">
        <v>220</v>
      </c>
      <c r="C3" s="254" t="s">
        <v>221</v>
      </c>
      <c r="D3" s="317" t="s">
        <v>32</v>
      </c>
      <c r="E3" s="254"/>
      <c r="F3" s="281">
        <v>45807</v>
      </c>
      <c r="G3" s="247"/>
      <c r="H3" s="248"/>
      <c r="I3" s="140"/>
    </row>
    <row r="4" spans="1:9" ht="30.75" hidden="1">
      <c r="A4" t="s">
        <v>216</v>
      </c>
      <c r="B4" s="28" t="s">
        <v>222</v>
      </c>
      <c r="C4" t="s">
        <v>194</v>
      </c>
      <c r="D4" s="66" t="s">
        <v>32</v>
      </c>
      <c r="F4" s="103">
        <v>45807</v>
      </c>
      <c r="G4" t="s">
        <v>218</v>
      </c>
      <c r="I4" s="103">
        <v>45805</v>
      </c>
    </row>
    <row r="5" spans="1:9" ht="76.5">
      <c r="A5" s="272"/>
      <c r="B5" s="273" t="s">
        <v>223</v>
      </c>
      <c r="C5" s="272" t="s">
        <v>224</v>
      </c>
      <c r="D5" s="272"/>
      <c r="E5" s="272"/>
      <c r="F5" s="282">
        <v>45807</v>
      </c>
      <c r="G5" s="272" t="s">
        <v>225</v>
      </c>
      <c r="H5" s="273" t="s">
        <v>226</v>
      </c>
      <c r="I5" s="274">
        <v>45936</v>
      </c>
    </row>
    <row r="6" spans="1:9">
      <c r="A6" s="254"/>
      <c r="B6" s="255" t="s">
        <v>227</v>
      </c>
      <c r="C6" s="254" t="s">
        <v>221</v>
      </c>
      <c r="D6" s="254"/>
      <c r="E6" s="254"/>
      <c r="F6" s="281">
        <v>45807</v>
      </c>
      <c r="G6" s="247"/>
      <c r="H6" s="248"/>
      <c r="I6" s="140"/>
    </row>
    <row r="7" spans="1:9" ht="80.25" customHeight="1">
      <c r="A7" s="306"/>
      <c r="B7" s="273" t="s">
        <v>228</v>
      </c>
      <c r="C7" s="272" t="s">
        <v>194</v>
      </c>
      <c r="D7" s="272"/>
      <c r="E7" s="272"/>
      <c r="F7" s="282">
        <v>45807</v>
      </c>
      <c r="G7" s="272" t="s">
        <v>225</v>
      </c>
      <c r="H7" s="273" t="s">
        <v>229</v>
      </c>
      <c r="I7" s="274">
        <v>45803</v>
      </c>
    </row>
    <row r="8" spans="1:9">
      <c r="A8" s="254" t="s">
        <v>230</v>
      </c>
      <c r="B8" s="255" t="s">
        <v>231</v>
      </c>
      <c r="C8" s="254" t="s">
        <v>221</v>
      </c>
      <c r="D8" s="256" t="s">
        <v>40</v>
      </c>
      <c r="E8" s="254"/>
      <c r="F8" s="281">
        <v>45807</v>
      </c>
      <c r="G8" s="247"/>
      <c r="H8" s="248"/>
      <c r="I8" s="140"/>
    </row>
    <row r="9" spans="1:9" ht="36" hidden="1" customHeight="1">
      <c r="A9" t="s">
        <v>230</v>
      </c>
      <c r="B9" s="28" t="s">
        <v>232</v>
      </c>
      <c r="C9" t="s">
        <v>187</v>
      </c>
      <c r="D9" s="66" t="s">
        <v>40</v>
      </c>
      <c r="F9" s="103">
        <v>45807</v>
      </c>
      <c r="G9" t="s">
        <v>218</v>
      </c>
      <c r="I9" s="103">
        <v>45777</v>
      </c>
    </row>
    <row r="10" spans="1:9" ht="34.5" customHeight="1">
      <c r="A10" s="254" t="s">
        <v>230</v>
      </c>
      <c r="B10" s="255" t="s">
        <v>233</v>
      </c>
      <c r="C10" s="254" t="s">
        <v>221</v>
      </c>
      <c r="D10" s="256" t="s">
        <v>40</v>
      </c>
      <c r="E10" s="254"/>
      <c r="F10" s="281">
        <v>45807</v>
      </c>
      <c r="G10" s="247"/>
      <c r="H10" s="248"/>
      <c r="I10" s="140"/>
    </row>
    <row r="11" spans="1:9" ht="45.75" customHeight="1">
      <c r="A11" s="272" t="s">
        <v>234</v>
      </c>
      <c r="B11" s="289" t="s">
        <v>235</v>
      </c>
      <c r="C11" s="272" t="s">
        <v>194</v>
      </c>
      <c r="D11" s="290" t="s">
        <v>26</v>
      </c>
      <c r="E11" s="272"/>
      <c r="F11" s="282">
        <v>45808</v>
      </c>
      <c r="G11" s="272" t="s">
        <v>225</v>
      </c>
      <c r="H11" s="273" t="s">
        <v>236</v>
      </c>
      <c r="I11" s="274">
        <v>45968</v>
      </c>
    </row>
    <row r="12" spans="1:9" ht="60.75">
      <c r="A12" s="277" t="s">
        <v>237</v>
      </c>
      <c r="B12" s="278" t="s">
        <v>238</v>
      </c>
      <c r="C12" s="277" t="s">
        <v>194</v>
      </c>
      <c r="D12" s="279" t="s">
        <v>34</v>
      </c>
      <c r="E12" s="277"/>
      <c r="F12" s="284">
        <v>45823</v>
      </c>
      <c r="G12" s="277" t="s">
        <v>225</v>
      </c>
      <c r="H12" s="278" t="s">
        <v>226</v>
      </c>
      <c r="I12" s="280">
        <v>45936</v>
      </c>
    </row>
    <row r="13" spans="1:9" ht="131.25" customHeight="1">
      <c r="A13" s="277" t="s">
        <v>237</v>
      </c>
      <c r="B13" s="278" t="s">
        <v>239</v>
      </c>
      <c r="C13" s="277" t="s">
        <v>194</v>
      </c>
      <c r="D13" s="279" t="s">
        <v>34</v>
      </c>
      <c r="E13" s="277"/>
      <c r="F13" s="284">
        <v>45823</v>
      </c>
      <c r="G13" s="277" t="s">
        <v>225</v>
      </c>
      <c r="H13" s="278" t="s">
        <v>240</v>
      </c>
      <c r="I13" s="280">
        <v>45967</v>
      </c>
    </row>
    <row r="14" spans="1:9">
      <c r="A14" s="257" t="s">
        <v>230</v>
      </c>
      <c r="B14" s="258" t="s">
        <v>241</v>
      </c>
      <c r="C14" s="257" t="s">
        <v>221</v>
      </c>
      <c r="D14" s="259" t="s">
        <v>40</v>
      </c>
      <c r="E14" s="257"/>
      <c r="F14" s="283">
        <v>45838</v>
      </c>
      <c r="G14" s="247"/>
      <c r="H14" s="247"/>
      <c r="I14" s="140"/>
    </row>
    <row r="15" spans="1:9">
      <c r="A15" s="257" t="s">
        <v>242</v>
      </c>
      <c r="B15" s="257" t="s">
        <v>243</v>
      </c>
      <c r="C15" s="257" t="s">
        <v>221</v>
      </c>
      <c r="D15" s="259" t="s">
        <v>11</v>
      </c>
      <c r="E15" s="257"/>
      <c r="F15" s="320">
        <v>45838</v>
      </c>
      <c r="G15" s="257"/>
      <c r="H15" s="257"/>
      <c r="I15" s="140"/>
    </row>
    <row r="16" spans="1:9">
      <c r="A16" s="257" t="s">
        <v>244</v>
      </c>
      <c r="B16" s="257" t="s">
        <v>245</v>
      </c>
      <c r="C16" s="257" t="s">
        <v>221</v>
      </c>
      <c r="D16" s="259" t="s">
        <v>11</v>
      </c>
      <c r="E16" s="257"/>
      <c r="F16" s="320">
        <v>45838</v>
      </c>
      <c r="G16" s="257"/>
      <c r="H16" s="257"/>
      <c r="I16" s="140"/>
    </row>
    <row r="17" spans="1:9">
      <c r="A17" s="257"/>
      <c r="B17" s="258" t="s">
        <v>62</v>
      </c>
      <c r="C17" s="257" t="s">
        <v>221</v>
      </c>
      <c r="D17" s="259" t="s">
        <v>62</v>
      </c>
      <c r="E17" s="257"/>
      <c r="F17" s="283">
        <v>45870</v>
      </c>
      <c r="G17" s="247"/>
      <c r="H17" s="248"/>
      <c r="I17" s="140"/>
    </row>
    <row r="18" spans="1:9">
      <c r="A18" s="247"/>
      <c r="B18" s="257" t="s">
        <v>246</v>
      </c>
      <c r="C18" s="257" t="s">
        <v>221</v>
      </c>
      <c r="D18" s="259" t="s">
        <v>247</v>
      </c>
      <c r="E18" s="257"/>
      <c r="F18" s="283">
        <v>45900</v>
      </c>
      <c r="G18" s="247"/>
      <c r="H18" s="248"/>
      <c r="I18" s="140"/>
    </row>
    <row r="19" spans="1:9">
      <c r="A19" s="247"/>
      <c r="B19" s="257" t="s">
        <v>248</v>
      </c>
      <c r="C19" s="257" t="s">
        <v>221</v>
      </c>
      <c r="D19" s="259" t="s">
        <v>249</v>
      </c>
      <c r="E19" s="257"/>
      <c r="F19" s="283">
        <v>45930</v>
      </c>
      <c r="G19" s="247"/>
      <c r="H19" s="248"/>
      <c r="I19" s="140"/>
    </row>
    <row r="20" spans="1:9">
      <c r="A20" s="257"/>
      <c r="B20" s="257" t="s">
        <v>250</v>
      </c>
      <c r="C20" s="257" t="s">
        <v>187</v>
      </c>
      <c r="D20" s="259" t="s">
        <v>251</v>
      </c>
      <c r="E20" s="257"/>
      <c r="F20" s="283">
        <v>45975</v>
      </c>
      <c r="G20" s="247"/>
      <c r="H20" s="247"/>
      <c r="I20" s="140"/>
    </row>
    <row r="21" spans="1:9" ht="60.75">
      <c r="A21" s="306"/>
      <c r="B21" s="272" t="s">
        <v>252</v>
      </c>
      <c r="C21" s="272" t="s">
        <v>221</v>
      </c>
      <c r="D21" s="290" t="s">
        <v>251</v>
      </c>
      <c r="E21" s="272"/>
      <c r="F21" s="282">
        <v>45975</v>
      </c>
      <c r="G21" s="272" t="s">
        <v>225</v>
      </c>
      <c r="H21" s="307" t="s">
        <v>253</v>
      </c>
      <c r="I21" s="280">
        <v>45971</v>
      </c>
    </row>
    <row r="22" spans="1:9">
      <c r="A22" s="257"/>
      <c r="B22" s="257" t="s">
        <v>254</v>
      </c>
      <c r="C22" s="257" t="s">
        <v>221</v>
      </c>
      <c r="D22" s="259" t="s">
        <v>255</v>
      </c>
      <c r="E22" s="257"/>
      <c r="F22" s="283">
        <v>45975</v>
      </c>
      <c r="G22" s="247"/>
      <c r="H22" s="248"/>
      <c r="I22" s="140"/>
    </row>
    <row r="23" spans="1:9" ht="30.75">
      <c r="A23" s="306"/>
      <c r="B23" s="273" t="s">
        <v>256</v>
      </c>
      <c r="C23" s="272" t="s">
        <v>194</v>
      </c>
      <c r="D23" s="290" t="s">
        <v>257</v>
      </c>
      <c r="E23" s="272"/>
      <c r="F23" s="282">
        <v>46010</v>
      </c>
      <c r="G23" s="272" t="s">
        <v>225</v>
      </c>
      <c r="H23" s="273" t="s">
        <v>258</v>
      </c>
      <c r="I23" s="274">
        <v>46006</v>
      </c>
    </row>
    <row r="24" spans="1:9" ht="30.75">
      <c r="A24" s="272" t="s">
        <v>237</v>
      </c>
      <c r="B24" s="273" t="s">
        <v>259</v>
      </c>
      <c r="C24" s="272" t="s">
        <v>194</v>
      </c>
      <c r="D24" s="290" t="s">
        <v>34</v>
      </c>
      <c r="E24" s="272"/>
      <c r="F24" s="282">
        <v>46010</v>
      </c>
      <c r="G24" s="272" t="s">
        <v>218</v>
      </c>
      <c r="H24" s="273" t="s">
        <v>260</v>
      </c>
      <c r="I24" s="274">
        <v>46050</v>
      </c>
    </row>
    <row r="25" spans="1:9">
      <c r="A25" s="319" t="s">
        <v>261</v>
      </c>
      <c r="B25" s="258" t="s">
        <v>262</v>
      </c>
      <c r="C25" s="257" t="s">
        <v>221</v>
      </c>
      <c r="D25" s="259" t="s">
        <v>11</v>
      </c>
      <c r="E25" s="257"/>
      <c r="F25" s="320">
        <v>46022</v>
      </c>
      <c r="G25" s="257"/>
      <c r="H25" s="257"/>
      <c r="I25" s="140"/>
    </row>
    <row r="26" spans="1:9">
      <c r="A26" s="247"/>
      <c r="B26" s="258" t="s">
        <v>263</v>
      </c>
      <c r="C26" s="257" t="s">
        <v>221</v>
      </c>
      <c r="D26" s="259" t="s">
        <v>64</v>
      </c>
      <c r="E26" s="257"/>
      <c r="F26" s="283">
        <v>46023</v>
      </c>
      <c r="G26" s="257"/>
      <c r="H26" s="258"/>
      <c r="I26" s="140"/>
    </row>
    <row r="27" spans="1:9">
      <c r="A27" s="247"/>
      <c r="B27" s="247" t="s">
        <v>264</v>
      </c>
      <c r="C27" s="247" t="s">
        <v>221</v>
      </c>
      <c r="D27" s="249" t="s">
        <v>265</v>
      </c>
      <c r="E27" s="247"/>
      <c r="F27" s="318">
        <v>46052</v>
      </c>
      <c r="G27" s="247"/>
      <c r="H27" s="247"/>
      <c r="I27" s="140"/>
    </row>
    <row r="28" spans="1:9">
      <c r="A28" s="272"/>
      <c r="B28" s="272" t="s">
        <v>266</v>
      </c>
      <c r="C28" s="272" t="s">
        <v>194</v>
      </c>
      <c r="D28" s="290" t="s">
        <v>267</v>
      </c>
      <c r="E28" s="272"/>
      <c r="F28" s="282">
        <v>46053</v>
      </c>
      <c r="G28" s="272" t="s">
        <v>218</v>
      </c>
      <c r="H28" s="339"/>
      <c r="I28" s="274">
        <v>46052</v>
      </c>
    </row>
    <row r="29" spans="1:9">
      <c r="A29" s="247"/>
      <c r="B29" s="247" t="s">
        <v>268</v>
      </c>
      <c r="C29" s="247" t="s">
        <v>187</v>
      </c>
      <c r="D29" s="249" t="s">
        <v>251</v>
      </c>
      <c r="E29" s="247"/>
      <c r="F29" s="285">
        <v>46082</v>
      </c>
      <c r="G29" s="247"/>
      <c r="H29" s="248"/>
      <c r="I29" s="140"/>
    </row>
    <row r="30" spans="1:9">
      <c r="A30" s="247"/>
      <c r="B30" s="248" t="s">
        <v>269</v>
      </c>
      <c r="C30" s="247" t="s">
        <v>221</v>
      </c>
      <c r="D30" s="249" t="s">
        <v>255</v>
      </c>
      <c r="E30" s="247"/>
      <c r="F30" s="285">
        <v>46096</v>
      </c>
      <c r="G30" s="247"/>
      <c r="H30" s="248"/>
      <c r="I30" s="140"/>
    </row>
    <row r="31" spans="1:9">
      <c r="A31" s="247"/>
      <c r="B31" s="248" t="s">
        <v>270</v>
      </c>
      <c r="C31" s="247" t="s">
        <v>221</v>
      </c>
      <c r="D31" s="249" t="s">
        <v>255</v>
      </c>
      <c r="E31" s="247"/>
      <c r="F31" s="285">
        <v>46096</v>
      </c>
      <c r="G31" s="247"/>
      <c r="H31" s="248"/>
      <c r="I31" s="140"/>
    </row>
    <row r="32" spans="1:9">
      <c r="A32" s="247"/>
      <c r="B32" s="247" t="s">
        <v>271</v>
      </c>
      <c r="C32" s="247" t="s">
        <v>194</v>
      </c>
      <c r="D32" s="259" t="s">
        <v>257</v>
      </c>
      <c r="E32" s="247"/>
      <c r="F32" s="285">
        <v>46106</v>
      </c>
      <c r="G32" s="247"/>
      <c r="H32" s="247"/>
      <c r="I32" s="140"/>
    </row>
    <row r="33" spans="1:9">
      <c r="A33" s="257"/>
      <c r="B33" s="247" t="s">
        <v>272</v>
      </c>
      <c r="C33" s="247" t="s">
        <v>194</v>
      </c>
      <c r="D33" s="293" t="s">
        <v>251</v>
      </c>
      <c r="E33" s="247"/>
      <c r="F33" s="285">
        <v>46112</v>
      </c>
      <c r="G33" s="247"/>
      <c r="H33" s="248"/>
      <c r="I33" s="140"/>
    </row>
    <row r="34" spans="1:9" ht="91.5">
      <c r="A34" s="247" t="s">
        <v>237</v>
      </c>
      <c r="B34" s="248" t="s">
        <v>273</v>
      </c>
      <c r="C34" s="247" t="s">
        <v>221</v>
      </c>
      <c r="D34" s="249" t="s">
        <v>34</v>
      </c>
      <c r="E34" s="247"/>
      <c r="F34" s="285">
        <v>46112</v>
      </c>
      <c r="G34" s="247"/>
      <c r="H34" s="247"/>
      <c r="I34" s="140"/>
    </row>
    <row r="35" spans="1:9">
      <c r="A35" s="247"/>
      <c r="B35" s="248" t="s">
        <v>274</v>
      </c>
      <c r="C35" s="247" t="s">
        <v>275</v>
      </c>
      <c r="D35" s="249" t="s">
        <v>276</v>
      </c>
      <c r="E35" s="247"/>
      <c r="F35" s="285">
        <v>46112</v>
      </c>
      <c r="G35" s="247"/>
      <c r="H35" s="247"/>
      <c r="I35" s="140"/>
    </row>
    <row r="36" spans="1:9">
      <c r="A36" s="287"/>
      <c r="B36" s="287" t="s">
        <v>277</v>
      </c>
      <c r="C36" s="287" t="s">
        <v>194</v>
      </c>
      <c r="D36" s="288" t="s">
        <v>278</v>
      </c>
      <c r="E36" s="287"/>
      <c r="F36" s="336">
        <v>46112</v>
      </c>
      <c r="G36" s="247"/>
      <c r="H36" s="247"/>
      <c r="I36" s="140"/>
    </row>
    <row r="37" spans="1:9">
      <c r="A37" s="247"/>
      <c r="B37" s="247" t="s">
        <v>252</v>
      </c>
      <c r="C37" s="247" t="s">
        <v>221</v>
      </c>
      <c r="D37" s="335" t="s">
        <v>251</v>
      </c>
      <c r="E37" s="247"/>
      <c r="F37" s="308">
        <v>46112</v>
      </c>
      <c r="G37" s="286"/>
      <c r="H37" s="247"/>
      <c r="I37" s="140"/>
    </row>
    <row r="38" spans="1:9">
      <c r="A38" s="247"/>
      <c r="B38" s="247" t="s">
        <v>279</v>
      </c>
      <c r="C38" s="247" t="s">
        <v>221</v>
      </c>
      <c r="D38" s="247"/>
      <c r="E38" s="247"/>
      <c r="F38" s="308">
        <v>46112</v>
      </c>
      <c r="G38" s="286"/>
      <c r="H38" s="247"/>
      <c r="I38" s="140"/>
    </row>
    <row r="39" spans="1:9">
      <c r="A39" s="247" t="s">
        <v>280</v>
      </c>
      <c r="B39" s="247" t="s">
        <v>281</v>
      </c>
      <c r="C39" s="247" t="s">
        <v>221</v>
      </c>
      <c r="D39" s="249" t="s">
        <v>26</v>
      </c>
      <c r="E39" s="247"/>
      <c r="F39" s="308">
        <v>46112</v>
      </c>
      <c r="G39" s="286"/>
      <c r="H39" s="247"/>
      <c r="I39" s="140"/>
    </row>
    <row r="40" spans="1:9">
      <c r="A40" s="247" t="s">
        <v>282</v>
      </c>
      <c r="B40" s="247" t="s">
        <v>283</v>
      </c>
      <c r="C40" s="247" t="s">
        <v>221</v>
      </c>
      <c r="D40" s="249" t="s">
        <v>26</v>
      </c>
      <c r="E40" s="247"/>
      <c r="F40" s="308">
        <v>46112</v>
      </c>
      <c r="G40" s="286"/>
      <c r="H40" s="247"/>
      <c r="I40" s="140"/>
    </row>
    <row r="41" spans="1:9">
      <c r="A41" s="287" t="s">
        <v>284</v>
      </c>
      <c r="B41" s="287" t="s">
        <v>285</v>
      </c>
      <c r="C41" s="287" t="s">
        <v>221</v>
      </c>
      <c r="D41" s="288" t="s">
        <v>26</v>
      </c>
      <c r="E41" s="287"/>
      <c r="F41" s="310">
        <v>46112</v>
      </c>
      <c r="G41" s="299"/>
      <c r="H41" s="287"/>
      <c r="I41" s="140"/>
    </row>
    <row r="42" spans="1:9">
      <c r="A42" s="287" t="s">
        <v>286</v>
      </c>
      <c r="B42" s="305" t="s">
        <v>287</v>
      </c>
      <c r="C42" s="287" t="s">
        <v>221</v>
      </c>
      <c r="D42" s="288" t="s">
        <v>26</v>
      </c>
      <c r="E42" s="287"/>
      <c r="F42" s="310">
        <v>46112</v>
      </c>
      <c r="G42" s="287"/>
      <c r="H42" s="287"/>
      <c r="I42" s="140"/>
    </row>
    <row r="43" spans="1:9">
      <c r="A43" s="287" t="s">
        <v>288</v>
      </c>
      <c r="B43" s="287" t="s">
        <v>289</v>
      </c>
      <c r="C43" s="287" t="s">
        <v>221</v>
      </c>
      <c r="D43" s="288" t="s">
        <v>26</v>
      </c>
      <c r="E43" s="287"/>
      <c r="F43" s="310">
        <v>46112</v>
      </c>
      <c r="G43" s="287"/>
      <c r="H43" s="287"/>
      <c r="I43" s="140"/>
    </row>
    <row r="44" spans="1:9">
      <c r="A44" s="287"/>
      <c r="B44" s="287" t="s">
        <v>290</v>
      </c>
      <c r="C44" s="287" t="s">
        <v>194</v>
      </c>
      <c r="D44" s="288" t="s">
        <v>291</v>
      </c>
      <c r="E44" s="287"/>
      <c r="F44" s="310">
        <v>46112</v>
      </c>
      <c r="G44" s="287"/>
      <c r="H44" s="287"/>
      <c r="I44" s="140"/>
    </row>
    <row r="45" spans="1:9">
      <c r="A45" s="287"/>
      <c r="B45" s="287" t="s">
        <v>292</v>
      </c>
      <c r="C45" s="287" t="s">
        <v>221</v>
      </c>
      <c r="D45" s="288" t="s">
        <v>293</v>
      </c>
      <c r="E45" s="287"/>
      <c r="F45" s="298">
        <v>46113</v>
      </c>
      <c r="G45" s="287"/>
      <c r="H45" s="287"/>
      <c r="I45" s="140"/>
    </row>
    <row r="46" spans="1:9">
      <c r="A46" s="247"/>
      <c r="B46" s="248" t="s">
        <v>294</v>
      </c>
      <c r="C46" s="247" t="s">
        <v>221</v>
      </c>
      <c r="D46" s="249" t="s">
        <v>255</v>
      </c>
      <c r="E46" s="247"/>
      <c r="F46" s="246">
        <v>46113</v>
      </c>
      <c r="G46" s="247"/>
      <c r="H46" s="247"/>
      <c r="I46" s="140"/>
    </row>
    <row r="47" spans="1:9">
      <c r="A47" s="247"/>
      <c r="B47" s="248" t="s">
        <v>295</v>
      </c>
      <c r="C47" s="247" t="s">
        <v>221</v>
      </c>
      <c r="D47" s="249" t="s">
        <v>255</v>
      </c>
      <c r="E47" s="247"/>
      <c r="F47" s="246">
        <v>46122</v>
      </c>
      <c r="G47" s="247"/>
      <c r="H47" s="247"/>
      <c r="I47" s="140"/>
    </row>
    <row r="48" spans="1:9">
      <c r="A48" s="247"/>
      <c r="B48" s="248" t="s">
        <v>296</v>
      </c>
      <c r="C48" s="247" t="s">
        <v>221</v>
      </c>
      <c r="D48" s="249" t="s">
        <v>255</v>
      </c>
      <c r="E48" s="247"/>
      <c r="F48" s="246">
        <v>46122</v>
      </c>
      <c r="G48" s="247"/>
      <c r="H48" s="247"/>
      <c r="I48" s="140"/>
    </row>
    <row r="49" spans="1:9">
      <c r="A49" s="247"/>
      <c r="B49" s="337" t="s">
        <v>297</v>
      </c>
      <c r="C49" s="247" t="s">
        <v>221</v>
      </c>
      <c r="D49" s="249" t="s">
        <v>255</v>
      </c>
      <c r="E49" s="247"/>
      <c r="F49" s="246">
        <v>46127</v>
      </c>
      <c r="G49" s="247"/>
      <c r="H49" s="247"/>
      <c r="I49" s="140"/>
    </row>
    <row r="50" spans="1:9">
      <c r="A50" s="247"/>
      <c r="B50" s="248" t="s">
        <v>298</v>
      </c>
      <c r="C50" s="247" t="s">
        <v>221</v>
      </c>
      <c r="D50" s="249" t="s">
        <v>255</v>
      </c>
      <c r="E50" s="247"/>
      <c r="F50" s="246">
        <v>46127</v>
      </c>
      <c r="G50" s="247"/>
      <c r="H50" s="247"/>
      <c r="I50" s="140"/>
    </row>
    <row r="51" spans="1:9">
      <c r="A51" s="247"/>
      <c r="B51" s="248" t="s">
        <v>299</v>
      </c>
      <c r="C51" s="247" t="s">
        <v>221</v>
      </c>
      <c r="D51" s="249" t="s">
        <v>255</v>
      </c>
      <c r="E51" s="247"/>
      <c r="F51" s="246">
        <v>46127</v>
      </c>
      <c r="G51" s="247"/>
      <c r="H51" s="247"/>
      <c r="I51" s="140"/>
    </row>
    <row r="52" spans="1:9">
      <c r="A52" s="247"/>
      <c r="B52" s="248" t="s">
        <v>300</v>
      </c>
      <c r="C52" s="247" t="s">
        <v>221</v>
      </c>
      <c r="D52" s="249" t="s">
        <v>255</v>
      </c>
      <c r="E52" s="247"/>
      <c r="F52" s="246">
        <v>46140</v>
      </c>
      <c r="G52" s="247"/>
      <c r="H52" s="247"/>
      <c r="I52" s="140"/>
    </row>
    <row r="53" spans="1:9">
      <c r="A53" s="247"/>
      <c r="B53" s="338" t="s">
        <v>301</v>
      </c>
      <c r="C53" s="247" t="s">
        <v>187</v>
      </c>
      <c r="D53" s="249" t="s">
        <v>251</v>
      </c>
      <c r="E53" s="247"/>
      <c r="F53" s="246">
        <v>46142</v>
      </c>
      <c r="G53" s="247"/>
      <c r="H53" s="247"/>
      <c r="I53" s="140"/>
    </row>
    <row r="54" spans="1:9">
      <c r="A54" s="247"/>
      <c r="B54" s="247" t="s">
        <v>290</v>
      </c>
      <c r="C54" s="247" t="s">
        <v>194</v>
      </c>
      <c r="D54" s="249" t="s">
        <v>302</v>
      </c>
      <c r="E54" s="247"/>
      <c r="F54" s="308">
        <v>46142</v>
      </c>
      <c r="G54" s="247"/>
      <c r="H54" s="247"/>
      <c r="I54" s="140"/>
    </row>
    <row r="55" spans="1:9">
      <c r="A55" s="247"/>
      <c r="B55" s="247" t="s">
        <v>303</v>
      </c>
      <c r="C55" s="247" t="s">
        <v>194</v>
      </c>
      <c r="D55" s="249" t="s">
        <v>131</v>
      </c>
      <c r="E55" s="247"/>
      <c r="F55" s="246">
        <v>46249</v>
      </c>
      <c r="G55" s="247"/>
      <c r="H55" s="247"/>
      <c r="I55" s="140"/>
    </row>
    <row r="56" spans="1:9">
      <c r="A56" s="247"/>
      <c r="B56" s="247" t="s">
        <v>304</v>
      </c>
      <c r="C56" s="247" t="s">
        <v>194</v>
      </c>
      <c r="D56" s="249" t="s">
        <v>131</v>
      </c>
      <c r="E56" s="247"/>
      <c r="F56" s="308">
        <v>46294</v>
      </c>
      <c r="G56" s="247"/>
      <c r="H56" s="247"/>
      <c r="I56" s="140"/>
    </row>
    <row r="57" spans="1:9">
      <c r="A57" s="247"/>
      <c r="B57" s="247" t="s">
        <v>305</v>
      </c>
      <c r="C57" s="247" t="s">
        <v>194</v>
      </c>
      <c r="D57" s="249" t="s">
        <v>58</v>
      </c>
      <c r="E57" s="247"/>
      <c r="F57" s="246">
        <v>46337</v>
      </c>
      <c r="G57" s="247"/>
      <c r="H57" s="247"/>
      <c r="I57" s="140"/>
    </row>
    <row r="58" spans="1:9">
      <c r="A58" s="247"/>
      <c r="B58" s="247" t="s">
        <v>306</v>
      </c>
      <c r="C58" s="247" t="s">
        <v>221</v>
      </c>
      <c r="D58" s="249" t="s">
        <v>11</v>
      </c>
      <c r="E58" s="247"/>
      <c r="F58" s="308">
        <v>46387</v>
      </c>
      <c r="G58" s="247"/>
      <c r="H58" s="247"/>
      <c r="I58" s="140"/>
    </row>
    <row r="59" spans="1:9">
      <c r="A59" s="247"/>
      <c r="B59" s="247" t="s">
        <v>307</v>
      </c>
      <c r="C59" s="247" t="s">
        <v>194</v>
      </c>
      <c r="D59" s="249" t="s">
        <v>58</v>
      </c>
      <c r="E59" s="247"/>
      <c r="F59" s="308">
        <v>46418</v>
      </c>
      <c r="G59" s="247"/>
      <c r="H59" s="247"/>
      <c r="I59" s="140"/>
    </row>
    <row r="60" spans="1:9">
      <c r="F60" s="140"/>
      <c r="I60" s="140"/>
    </row>
    <row r="61" spans="1:9">
      <c r="F61" s="140"/>
      <c r="I61" s="140"/>
    </row>
    <row r="62" spans="1:9">
      <c r="F62" s="140"/>
      <c r="I62" s="140"/>
    </row>
    <row r="63" spans="1:9">
      <c r="F63" s="140"/>
      <c r="I63" s="140"/>
    </row>
    <row r="64" spans="1:9">
      <c r="F64" s="140"/>
      <c r="I64" s="140"/>
    </row>
    <row r="65" spans="6:9">
      <c r="F65" s="140"/>
      <c r="I65" s="140"/>
    </row>
    <row r="66" spans="6:9">
      <c r="F66" s="140"/>
      <c r="I66" s="140"/>
    </row>
    <row r="67" spans="6:9">
      <c r="I67" s="140"/>
    </row>
    <row r="68" spans="6:9">
      <c r="I68" s="140"/>
    </row>
    <row r="69" spans="6:9">
      <c r="I69" s="140"/>
    </row>
    <row r="70" spans="6:9">
      <c r="I70" s="140"/>
    </row>
    <row r="71" spans="6:9">
      <c r="I71" s="140"/>
    </row>
    <row r="72" spans="6:9">
      <c r="I72" s="140"/>
    </row>
    <row r="73" spans="6:9">
      <c r="I73" s="140"/>
    </row>
    <row r="74" spans="6:9">
      <c r="I74" s="140"/>
    </row>
    <row r="75" spans="6:9">
      <c r="I75" s="140"/>
    </row>
    <row r="76" spans="6:9">
      <c r="I76" s="140"/>
    </row>
    <row r="77" spans="6:9">
      <c r="I77" s="140"/>
    </row>
    <row r="78" spans="6:9">
      <c r="I78" s="140"/>
    </row>
    <row r="79" spans="6:9">
      <c r="I79" s="140"/>
    </row>
    <row r="80" spans="6:9">
      <c r="I80" s="140"/>
    </row>
    <row r="81" spans="9:9">
      <c r="I81" s="140"/>
    </row>
    <row r="82" spans="9:9">
      <c r="I82" s="140"/>
    </row>
    <row r="83" spans="9:9">
      <c r="I83" s="140"/>
    </row>
  </sheetData>
  <autoFilter ref="A1:I36" xr:uid="{A36D429C-B589-423A-BE46-58B8479CCE46}">
    <filterColumn colId="6">
      <filters blank="1"/>
    </filterColumn>
    <sortState xmlns:xlrd2="http://schemas.microsoft.com/office/spreadsheetml/2017/richdata2" ref="A2:I59">
      <sortCondition ref="F1:F36"/>
    </sortState>
  </autoFilter>
  <conditionalFormatting sqref="F2:F43">
    <cfRule type="expression" dxfId="14" priority="2">
      <formula>AND(F2-TODAY()&lt;=7, F2-TODAY()&gt;=0)</formula>
    </cfRule>
  </conditionalFormatting>
  <hyperlinks>
    <hyperlink ref="D45" r:id="rId1" xr:uid="{A4DF690B-78CE-4015-9707-5ED10174C930}"/>
    <hyperlink ref="D20" r:id="rId2" xr:uid="{896A1E23-DC29-4EB1-BF53-4ACA23D6FA3A}"/>
    <hyperlink ref="D33" r:id="rId3" xr:uid="{5E02BBF5-0CC8-4027-B868-FC6750D77B20}"/>
    <hyperlink ref="D21" r:id="rId4" xr:uid="{4D2B57CF-222C-4D09-8495-B493D8B7A3D1}"/>
    <hyperlink ref="D53" r:id="rId5" xr:uid="{9CB7F0B4-CA59-4EB4-89D4-31F4D407E540}"/>
    <hyperlink ref="D29" r:id="rId6" xr:uid="{09446103-A5AC-4EC1-9D1F-044629C8E9DB}"/>
    <hyperlink ref="D2" r:id="rId7" xr:uid="{45316BAE-20B5-4CF1-B08F-89D67A35BB94}"/>
    <hyperlink ref="D24" r:id="rId8" xr:uid="{7FEA97F8-9416-4456-87B4-005E4994A883}"/>
    <hyperlink ref="D12" r:id="rId9" xr:uid="{7BC0E82B-1869-4D04-AD33-BF603FAE8358}"/>
    <hyperlink ref="D13" r:id="rId10" xr:uid="{8061FFC0-737B-443B-A949-14CDAB99F97D}"/>
    <hyperlink ref="D34" r:id="rId11" xr:uid="{8512AA1B-B15F-4960-A2D9-C9BEBFF2E36F}"/>
    <hyperlink ref="D14" r:id="rId12" xr:uid="{ACDFEB16-0BE0-4B17-94AD-872BE25139E1}"/>
    <hyperlink ref="D20:D21" r:id="rId13" display="Management Review Log" xr:uid="{050C316C-BD75-4277-9063-98C8AB9DA3CE}"/>
    <hyperlink ref="D10" r:id="rId14" xr:uid="{D620E82B-6DAE-4752-8CD2-D936451F6E22}"/>
    <hyperlink ref="D35" r:id="rId15" xr:uid="{4C82480E-9A8D-492A-8B9A-A7096FE88B25}"/>
    <hyperlink ref="D23" r:id="rId16" xr:uid="{797472B5-1743-4B20-B997-07EAB57FE62C}"/>
    <hyperlink ref="D17" r:id="rId17" xr:uid="{76997601-BD54-4B39-AA18-351330B98D48}"/>
    <hyperlink ref="D26" r:id="rId18" xr:uid="{9809836F-E938-4363-985E-86148A654D0E}"/>
    <hyperlink ref="D46" r:id="rId19" xr:uid="{66FF086D-C250-4898-9B68-93588C4C6052}"/>
    <hyperlink ref="D28:D36" r:id="rId20" display="Legal and Regul. Compl. Register" xr:uid="{1DE52641-DEBE-47BE-8397-F48AADA276CA}"/>
    <hyperlink ref="D55" r:id="rId21" xr:uid="{727E9297-D6E6-4BE6-AADA-900AD6C80E8B}"/>
    <hyperlink ref="D28" r:id="rId22" xr:uid="{7945F7F9-661E-4303-8055-14AFECF609CF}"/>
    <hyperlink ref="D19" r:id="rId23" xr:uid="{4FB4CDCB-B1F4-495D-B1F8-E0956119DEE5}"/>
    <hyperlink ref="D18" r:id="rId24" xr:uid="{15A7C0E7-02AC-48AA-8B63-FF56111D2650}"/>
    <hyperlink ref="D36" r:id="rId25" xr:uid="{3E4094F4-EE5E-47AC-B550-9F6B00526B8A}"/>
    <hyperlink ref="D11" r:id="rId26" xr:uid="{5F136623-11CF-4C3C-B7C4-456D3505AD76}"/>
    <hyperlink ref="H21" r:id="rId27" xr:uid="{DA663B11-4CB8-42EC-B508-0DDC22CF8565}"/>
    <hyperlink ref="D57" r:id="rId28" xr:uid="{E5460935-1112-41F4-A465-4C97BEBC5C83}"/>
    <hyperlink ref="D32" r:id="rId29" xr:uid="{0D284E31-CE41-4A91-8339-5FE7FACA3CBD}"/>
    <hyperlink ref="D37" r:id="rId30" xr:uid="{12F68EE8-3B30-4F70-9C50-F6C2A0A01990}"/>
    <hyperlink ref="D58" r:id="rId31" xr:uid="{02622DB5-D533-4146-BA32-9A33F41FCA95}"/>
    <hyperlink ref="D3" r:id="rId32" xr:uid="{AEA5FD0F-AC34-4236-B5E7-F01B478CDB84}"/>
    <hyperlink ref="D25" r:id="rId33" xr:uid="{5C5A7176-1B33-483F-AD59-ED794A9FBD07}"/>
    <hyperlink ref="D15" r:id="rId34" xr:uid="{523AD59A-E1E1-474F-B7AE-C05B764E6166}"/>
    <hyperlink ref="D16" r:id="rId35" xr:uid="{7263C0DA-ACDF-485E-A3E5-0F43880862AE}"/>
    <hyperlink ref="D39" r:id="rId36" xr:uid="{366EE480-F610-4F64-8AFE-83CF62C7679C}"/>
    <hyperlink ref="D51:D52" r:id="rId37" display="ISMS Action Tracker" xr:uid="{86EF6890-A879-4C49-898D-7C9C21BC1F98}"/>
    <hyperlink ref="D53:D54" r:id="rId38" display="ISMS Action Tracker" xr:uid="{BA50634F-93F7-43CC-B5FD-201977C72AF7}"/>
    <hyperlink ref="D54" r:id="rId39" xr:uid="{50CCF1E8-E7D0-4B2E-B0F4-93D5D44130AC}"/>
    <hyperlink ref="D44" r:id="rId40" xr:uid="{24F9AC9C-0D48-43E3-8E77-A03BB7FB5411}"/>
    <hyperlink ref="D56" r:id="rId41" xr:uid="{4F090A73-8DAD-4DCB-BD02-61E8B4ED1F28}"/>
    <hyperlink ref="D59" r:id="rId42" xr:uid="{B25EE8CF-7921-4FD9-8A77-D06EE172372A}"/>
    <hyperlink ref="D27" r:id="rId43" xr:uid="{138DA009-943A-4B81-AC70-FC1511589CE7}"/>
  </hyperlinks>
  <pageMargins left="0.7" right="0.7" top="0.75" bottom="0.75" header="0.3" footer="0.3"/>
  <drawing r:id="rId4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60849-B61F-4348-B366-F29A70A6273F}">
  <sheetPr codeName="Sheet30">
    <tabColor rgb="FF92D050"/>
  </sheetPr>
  <dimension ref="A1:P70"/>
  <sheetViews>
    <sheetView zoomScale="150" workbookViewId="0"/>
  </sheetViews>
  <sheetFormatPr defaultColWidth="8.85546875" defaultRowHeight="15"/>
  <cols>
    <col min="1" max="1" width="3.28515625" bestFit="1" customWidth="1"/>
    <col min="2" max="2" width="12" bestFit="1" customWidth="1"/>
    <col min="3" max="3" width="45.85546875" bestFit="1" customWidth="1"/>
    <col min="4" max="4" width="26.140625" bestFit="1" customWidth="1"/>
    <col min="5" max="5" width="24.7109375" customWidth="1"/>
    <col min="6" max="6" width="33.85546875" customWidth="1"/>
    <col min="7" max="7" width="22.7109375" customWidth="1"/>
    <col min="8" max="8" width="16" customWidth="1"/>
    <col min="9" max="9" width="12" customWidth="1"/>
    <col min="10" max="10" width="14.140625" bestFit="1" customWidth="1"/>
    <col min="11" max="11" width="39.140625" customWidth="1"/>
    <col min="12" max="12" width="12.42578125" bestFit="1" customWidth="1"/>
    <col min="13" max="13" width="32.42578125" customWidth="1"/>
    <col min="14" max="14" width="17.140625" bestFit="1" customWidth="1"/>
  </cols>
  <sheetData>
    <row r="1" spans="1:16" ht="48">
      <c r="B1" s="29" t="s">
        <v>308</v>
      </c>
      <c r="C1" s="30" t="s">
        <v>309</v>
      </c>
      <c r="D1" s="31" t="s">
        <v>310</v>
      </c>
      <c r="E1" s="31" t="s">
        <v>311</v>
      </c>
      <c r="F1" s="31" t="s">
        <v>312</v>
      </c>
      <c r="G1" s="31" t="s">
        <v>313</v>
      </c>
      <c r="H1" s="31" t="s">
        <v>314</v>
      </c>
      <c r="I1" s="30" t="s">
        <v>315</v>
      </c>
      <c r="J1" s="31" t="s">
        <v>316</v>
      </c>
      <c r="K1" s="31" t="s">
        <v>317</v>
      </c>
      <c r="L1" s="31" t="s">
        <v>318</v>
      </c>
      <c r="M1" s="31" t="s">
        <v>319</v>
      </c>
      <c r="N1" s="31" t="s">
        <v>320</v>
      </c>
      <c r="O1" s="28"/>
      <c r="P1" s="28"/>
    </row>
    <row r="2" spans="1:16" ht="50.25" customHeight="1">
      <c r="A2">
        <v>1</v>
      </c>
      <c r="B2" t="s">
        <v>321</v>
      </c>
      <c r="C2" t="s">
        <v>322</v>
      </c>
      <c r="D2" t="s">
        <v>323</v>
      </c>
      <c r="E2" t="s">
        <v>324</v>
      </c>
      <c r="F2" t="s">
        <v>325</v>
      </c>
      <c r="G2" t="s">
        <v>326</v>
      </c>
      <c r="H2" s="140">
        <v>45535</v>
      </c>
      <c r="I2" s="140">
        <v>45747</v>
      </c>
      <c r="J2" t="s">
        <v>225</v>
      </c>
      <c r="K2" s="28" t="s">
        <v>327</v>
      </c>
      <c r="L2" s="300">
        <v>46016</v>
      </c>
      <c r="M2" s="28" t="s">
        <v>328</v>
      </c>
      <c r="N2" s="300">
        <v>46357</v>
      </c>
    </row>
    <row r="3" spans="1:16">
      <c r="A3" s="113">
        <v>2</v>
      </c>
      <c r="B3" s="113" t="s">
        <v>261</v>
      </c>
      <c r="C3" s="113" t="s">
        <v>262</v>
      </c>
      <c r="D3" s="113" t="s">
        <v>323</v>
      </c>
      <c r="E3" s="113" t="s">
        <v>324</v>
      </c>
      <c r="F3" s="113" t="s">
        <v>160</v>
      </c>
      <c r="G3" s="113" t="s">
        <v>326</v>
      </c>
      <c r="H3" s="213">
        <v>45565</v>
      </c>
      <c r="I3" s="213">
        <v>46022</v>
      </c>
      <c r="J3" s="113" t="s">
        <v>329</v>
      </c>
      <c r="K3" s="212" t="s">
        <v>330</v>
      </c>
      <c r="L3" s="309">
        <v>46016</v>
      </c>
      <c r="M3" s="212"/>
      <c r="N3" s="309"/>
    </row>
    <row r="4" spans="1:16" ht="108" customHeight="1">
      <c r="A4">
        <v>3</v>
      </c>
      <c r="B4" t="s">
        <v>331</v>
      </c>
      <c r="C4" t="s">
        <v>332</v>
      </c>
      <c r="D4" t="s">
        <v>323</v>
      </c>
      <c r="E4" t="s">
        <v>324</v>
      </c>
      <c r="F4" t="s">
        <v>160</v>
      </c>
      <c r="G4" t="s">
        <v>326</v>
      </c>
      <c r="H4" s="140">
        <v>45565</v>
      </c>
      <c r="I4" s="140">
        <v>45758</v>
      </c>
      <c r="J4" t="s">
        <v>225</v>
      </c>
      <c r="K4" t="s">
        <v>333</v>
      </c>
      <c r="L4" s="300">
        <v>45992</v>
      </c>
      <c r="M4" s="28" t="s">
        <v>334</v>
      </c>
      <c r="N4" s="300">
        <v>46357</v>
      </c>
    </row>
    <row r="5" spans="1:16">
      <c r="A5">
        <v>4</v>
      </c>
      <c r="B5" t="s">
        <v>335</v>
      </c>
      <c r="C5" t="s">
        <v>336</v>
      </c>
      <c r="D5" t="s">
        <v>323</v>
      </c>
      <c r="E5" t="s">
        <v>324</v>
      </c>
      <c r="F5" t="s">
        <v>337</v>
      </c>
      <c r="G5" t="s">
        <v>326</v>
      </c>
      <c r="H5" s="140">
        <v>45535</v>
      </c>
      <c r="I5" s="140">
        <v>45930</v>
      </c>
      <c r="J5" t="s">
        <v>329</v>
      </c>
      <c r="K5" s="28" t="s">
        <v>338</v>
      </c>
      <c r="L5" s="300">
        <v>45992</v>
      </c>
      <c r="M5" s="28" t="s">
        <v>339</v>
      </c>
      <c r="N5" s="300">
        <v>46357</v>
      </c>
    </row>
    <row r="6" spans="1:16">
      <c r="A6">
        <v>5</v>
      </c>
      <c r="B6" s="113" t="s">
        <v>242</v>
      </c>
      <c r="C6" s="113" t="s">
        <v>243</v>
      </c>
      <c r="D6" s="113" t="s">
        <v>323</v>
      </c>
      <c r="E6" s="113" t="s">
        <v>324</v>
      </c>
      <c r="F6" s="113" t="s">
        <v>340</v>
      </c>
      <c r="G6" s="113" t="s">
        <v>326</v>
      </c>
      <c r="H6" s="213">
        <v>45961</v>
      </c>
      <c r="I6" s="213">
        <v>46022</v>
      </c>
      <c r="J6" s="113" t="s">
        <v>329</v>
      </c>
      <c r="K6" s="212" t="s">
        <v>341</v>
      </c>
      <c r="L6" s="309">
        <v>45838</v>
      </c>
      <c r="M6" s="212"/>
      <c r="N6" s="309"/>
    </row>
    <row r="7" spans="1:16">
      <c r="A7">
        <v>6</v>
      </c>
      <c r="B7" s="113" t="s">
        <v>244</v>
      </c>
      <c r="C7" s="113" t="s">
        <v>245</v>
      </c>
      <c r="D7" s="113" t="s">
        <v>323</v>
      </c>
      <c r="E7" s="113" t="s">
        <v>324</v>
      </c>
      <c r="F7" s="113" t="s">
        <v>325</v>
      </c>
      <c r="G7" s="113" t="s">
        <v>326</v>
      </c>
      <c r="H7" s="213">
        <v>45596</v>
      </c>
      <c r="I7" s="213">
        <v>46022</v>
      </c>
      <c r="J7" s="113" t="s">
        <v>329</v>
      </c>
      <c r="K7" s="212" t="s">
        <v>342</v>
      </c>
      <c r="L7" s="309">
        <v>45838</v>
      </c>
      <c r="M7" s="212"/>
      <c r="N7" s="309"/>
    </row>
    <row r="8" spans="1:16" ht="45.75">
      <c r="A8">
        <v>7</v>
      </c>
      <c r="B8" t="s">
        <v>343</v>
      </c>
      <c r="C8" t="s">
        <v>344</v>
      </c>
      <c r="D8" t="s">
        <v>323</v>
      </c>
      <c r="E8" t="s">
        <v>324</v>
      </c>
      <c r="F8" t="s">
        <v>325</v>
      </c>
      <c r="G8" t="s">
        <v>326</v>
      </c>
      <c r="H8" s="140">
        <v>45716</v>
      </c>
      <c r="I8" s="140">
        <v>45880</v>
      </c>
      <c r="J8" t="s">
        <v>329</v>
      </c>
      <c r="K8" s="28" t="s">
        <v>345</v>
      </c>
      <c r="L8" s="300">
        <v>45992</v>
      </c>
      <c r="M8" s="28" t="s">
        <v>346</v>
      </c>
      <c r="N8" s="300">
        <v>46357</v>
      </c>
    </row>
    <row r="9" spans="1:16" ht="30.75">
      <c r="A9">
        <v>8</v>
      </c>
      <c r="B9" t="s">
        <v>347</v>
      </c>
      <c r="C9" s="28" t="s">
        <v>348</v>
      </c>
      <c r="D9" t="s">
        <v>323</v>
      </c>
      <c r="E9" t="s">
        <v>324</v>
      </c>
      <c r="F9" t="s">
        <v>349</v>
      </c>
      <c r="H9" s="140">
        <v>45565</v>
      </c>
      <c r="I9" s="140">
        <v>45991</v>
      </c>
      <c r="J9" t="s">
        <v>225</v>
      </c>
      <c r="K9" s="28" t="s">
        <v>350</v>
      </c>
      <c r="L9" s="300">
        <v>45992</v>
      </c>
      <c r="M9" s="28" t="s">
        <v>351</v>
      </c>
      <c r="N9" s="300">
        <v>46357</v>
      </c>
    </row>
    <row r="10" spans="1:16" ht="30.75">
      <c r="A10">
        <v>9</v>
      </c>
      <c r="B10" t="s">
        <v>352</v>
      </c>
      <c r="C10" s="28" t="s">
        <v>353</v>
      </c>
      <c r="D10" t="s">
        <v>323</v>
      </c>
      <c r="E10" t="s">
        <v>324</v>
      </c>
      <c r="F10" t="s">
        <v>349</v>
      </c>
      <c r="H10" s="140">
        <v>45716</v>
      </c>
      <c r="I10" s="140">
        <v>45991</v>
      </c>
      <c r="J10" t="s">
        <v>225</v>
      </c>
      <c r="K10" s="28" t="s">
        <v>354</v>
      </c>
      <c r="L10" s="300">
        <v>45992</v>
      </c>
      <c r="M10" s="28" t="s">
        <v>355</v>
      </c>
      <c r="N10" s="300">
        <v>46357</v>
      </c>
    </row>
    <row r="11" spans="1:16">
      <c r="A11">
        <v>10</v>
      </c>
      <c r="I11" s="140"/>
      <c r="K11" s="28"/>
      <c r="L11" s="300"/>
      <c r="M11" s="28"/>
      <c r="N11" s="300"/>
    </row>
    <row r="12" spans="1:16">
      <c r="A12">
        <v>11</v>
      </c>
      <c r="I12" s="140"/>
      <c r="K12" s="28"/>
      <c r="L12" s="300"/>
      <c r="M12" s="28"/>
      <c r="N12" s="300"/>
    </row>
    <row r="13" spans="1:16">
      <c r="A13">
        <v>12</v>
      </c>
      <c r="I13" s="140"/>
      <c r="K13" s="28"/>
      <c r="L13" s="300"/>
      <c r="M13" s="28"/>
      <c r="N13" s="300"/>
    </row>
    <row r="14" spans="1:16">
      <c r="A14">
        <v>13</v>
      </c>
      <c r="I14" s="140"/>
      <c r="K14" s="28"/>
      <c r="L14" s="300"/>
      <c r="M14" s="28"/>
      <c r="N14" s="300"/>
    </row>
    <row r="15" spans="1:16">
      <c r="A15">
        <v>14</v>
      </c>
      <c r="I15" s="140"/>
      <c r="K15" s="28"/>
      <c r="L15" s="300"/>
      <c r="M15" s="28"/>
      <c r="N15" s="300"/>
    </row>
    <row r="16" spans="1:16">
      <c r="A16">
        <v>15</v>
      </c>
      <c r="L16" s="300"/>
      <c r="M16" s="28"/>
      <c r="N16" s="300"/>
    </row>
    <row r="17" spans="1:14">
      <c r="A17">
        <v>16</v>
      </c>
      <c r="L17" s="300"/>
      <c r="M17" s="28"/>
      <c r="N17" s="300"/>
    </row>
    <row r="18" spans="1:14">
      <c r="A18">
        <v>17</v>
      </c>
      <c r="L18" s="300"/>
      <c r="M18" s="28"/>
      <c r="N18" s="300"/>
    </row>
    <row r="19" spans="1:14">
      <c r="A19">
        <v>18</v>
      </c>
      <c r="L19" s="300"/>
      <c r="M19" s="28"/>
      <c r="N19" s="300"/>
    </row>
    <row r="20" spans="1:14">
      <c r="A20">
        <v>19</v>
      </c>
      <c r="L20" s="300"/>
      <c r="M20" s="28"/>
      <c r="N20" s="300"/>
    </row>
    <row r="21" spans="1:14">
      <c r="A21">
        <v>20</v>
      </c>
      <c r="L21" s="300"/>
      <c r="M21" s="28"/>
      <c r="N21" s="300"/>
    </row>
    <row r="22" spans="1:14">
      <c r="A22">
        <v>21</v>
      </c>
      <c r="L22" s="300"/>
      <c r="M22" s="28"/>
      <c r="N22" s="300"/>
    </row>
    <row r="23" spans="1:14">
      <c r="A23">
        <v>22</v>
      </c>
      <c r="L23" s="300"/>
      <c r="M23" s="28"/>
      <c r="N23" s="300"/>
    </row>
    <row r="24" spans="1:14">
      <c r="A24">
        <v>23</v>
      </c>
      <c r="L24" s="300"/>
      <c r="M24" s="28"/>
      <c r="N24" s="300"/>
    </row>
    <row r="25" spans="1:14">
      <c r="A25">
        <v>24</v>
      </c>
      <c r="L25" s="300"/>
      <c r="M25" s="28"/>
      <c r="N25" s="300"/>
    </row>
    <row r="26" spans="1:14">
      <c r="A26">
        <v>25</v>
      </c>
      <c r="L26" s="300"/>
      <c r="M26" s="28"/>
      <c r="N26" s="300"/>
    </row>
    <row r="27" spans="1:14">
      <c r="A27">
        <v>26</v>
      </c>
      <c r="L27" s="300"/>
      <c r="M27" s="28"/>
      <c r="N27" s="300"/>
    </row>
    <row r="28" spans="1:14">
      <c r="A28">
        <v>27</v>
      </c>
      <c r="L28" s="300"/>
      <c r="M28" s="28"/>
      <c r="N28" s="300"/>
    </row>
    <row r="29" spans="1:14">
      <c r="A29">
        <v>28</v>
      </c>
      <c r="L29" s="300"/>
      <c r="M29" s="28"/>
      <c r="N29" s="300"/>
    </row>
    <row r="30" spans="1:14">
      <c r="A30">
        <v>29</v>
      </c>
      <c r="L30" s="300"/>
      <c r="N30" s="300"/>
    </row>
    <row r="31" spans="1:14">
      <c r="A31">
        <v>30</v>
      </c>
      <c r="L31" s="300"/>
      <c r="N31" s="300"/>
    </row>
    <row r="32" spans="1:14">
      <c r="A32">
        <v>31</v>
      </c>
      <c r="L32" s="300"/>
      <c r="N32" s="300"/>
    </row>
    <row r="33" spans="1:14">
      <c r="A33">
        <v>32</v>
      </c>
      <c r="L33" s="300"/>
      <c r="N33" s="300"/>
    </row>
    <row r="34" spans="1:14">
      <c r="A34">
        <v>33</v>
      </c>
      <c r="L34" s="300"/>
      <c r="N34" s="300"/>
    </row>
    <row r="35" spans="1:14">
      <c r="A35">
        <v>34</v>
      </c>
      <c r="L35" s="300"/>
      <c r="N35" s="300"/>
    </row>
    <row r="36" spans="1:14">
      <c r="A36">
        <v>35</v>
      </c>
      <c r="N36" s="300"/>
    </row>
    <row r="37" spans="1:14">
      <c r="A37">
        <v>36</v>
      </c>
      <c r="N37" s="300"/>
    </row>
    <row r="38" spans="1:14">
      <c r="A38">
        <v>37</v>
      </c>
      <c r="N38" s="300"/>
    </row>
    <row r="39" spans="1:14">
      <c r="A39">
        <v>38</v>
      </c>
      <c r="N39" s="300"/>
    </row>
    <row r="40" spans="1:14">
      <c r="A40">
        <v>39</v>
      </c>
      <c r="N40" s="300"/>
    </row>
    <row r="41" spans="1:14">
      <c r="A41">
        <v>40</v>
      </c>
      <c r="N41" s="300"/>
    </row>
    <row r="42" spans="1:14">
      <c r="A42">
        <v>41</v>
      </c>
      <c r="N42" s="300"/>
    </row>
    <row r="43" spans="1:14">
      <c r="A43">
        <v>42</v>
      </c>
      <c r="N43" s="300"/>
    </row>
    <row r="44" spans="1:14">
      <c r="A44">
        <v>43</v>
      </c>
      <c r="N44" s="300"/>
    </row>
    <row r="45" spans="1:14">
      <c r="A45">
        <v>44</v>
      </c>
      <c r="N45" s="300"/>
    </row>
    <row r="46" spans="1:14">
      <c r="A46">
        <v>45</v>
      </c>
    </row>
    <row r="47" spans="1:14">
      <c r="A47">
        <v>46</v>
      </c>
    </row>
    <row r="48" spans="1:14">
      <c r="A48">
        <v>47</v>
      </c>
    </row>
    <row r="49" spans="1:1">
      <c r="A49">
        <v>48</v>
      </c>
    </row>
    <row r="50" spans="1:1">
      <c r="A50">
        <v>49</v>
      </c>
    </row>
    <row r="51" spans="1:1">
      <c r="A51">
        <v>50</v>
      </c>
    </row>
    <row r="52" spans="1:1">
      <c r="A52">
        <v>51</v>
      </c>
    </row>
    <row r="53" spans="1:1">
      <c r="A53">
        <v>52</v>
      </c>
    </row>
    <row r="54" spans="1:1">
      <c r="A54">
        <v>53</v>
      </c>
    </row>
    <row r="55" spans="1:1">
      <c r="A55">
        <v>54</v>
      </c>
    </row>
    <row r="56" spans="1:1">
      <c r="A56">
        <v>55</v>
      </c>
    </row>
    <row r="57" spans="1:1">
      <c r="A57">
        <v>56</v>
      </c>
    </row>
    <row r="58" spans="1:1">
      <c r="A58">
        <v>57</v>
      </c>
    </row>
    <row r="59" spans="1:1">
      <c r="A59">
        <v>58</v>
      </c>
    </row>
    <row r="60" spans="1:1">
      <c r="A60">
        <v>59</v>
      </c>
    </row>
    <row r="61" spans="1:1">
      <c r="A61">
        <v>60</v>
      </c>
    </row>
    <row r="62" spans="1:1">
      <c r="A62">
        <v>61</v>
      </c>
    </row>
    <row r="63" spans="1:1">
      <c r="A63">
        <v>62</v>
      </c>
    </row>
    <row r="64" spans="1:1">
      <c r="A64">
        <v>63</v>
      </c>
    </row>
    <row r="65" spans="1:1">
      <c r="A65">
        <v>64</v>
      </c>
    </row>
    <row r="66" spans="1:1">
      <c r="A66">
        <v>65</v>
      </c>
    </row>
    <row r="67" spans="1:1">
      <c r="A67">
        <v>66</v>
      </c>
    </row>
    <row r="68" spans="1:1">
      <c r="A68">
        <v>67</v>
      </c>
    </row>
    <row r="69" spans="1:1">
      <c r="A69">
        <v>68</v>
      </c>
    </row>
    <row r="70" spans="1:1">
      <c r="A70">
        <v>69</v>
      </c>
    </row>
  </sheetData>
  <phoneticPr fontId="5" type="noConversion"/>
  <conditionalFormatting sqref="L2:L45">
    <cfRule type="expression" dxfId="13" priority="1">
      <formula>AND(L2-TODAY()&lt;=7, L2-TODAY()&gt;=0)</formula>
    </cfRule>
  </conditionalFormatting>
  <pageMargins left="0.7" right="0.7" top="0.75" bottom="0.75" header="0.3" footer="0.3"/>
  <pageSetup paperSize="9"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64CF0D75-2DAC-214F-881C-FE9AB40E83F4}">
          <x14:formula1>
            <xm:f>'Instructions and Definitions'!$G$22:$G$33</xm:f>
          </x14:formula1>
          <xm:sqref>F2:F31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21"/>
  <sheetViews>
    <sheetView zoomScale="137" workbookViewId="0">
      <pane ySplit="1" topLeftCell="C12" activePane="bottomLeft" state="frozen"/>
      <selection pane="bottomLeft" activeCell="J25" sqref="J25"/>
    </sheetView>
  </sheetViews>
  <sheetFormatPr defaultColWidth="8.85546875" defaultRowHeight="15"/>
  <cols>
    <col min="1" max="1" width="8" bestFit="1" customWidth="1"/>
    <col min="2" max="2" width="29.5703125" customWidth="1"/>
    <col min="3" max="3" width="14.42578125" customWidth="1"/>
    <col min="4" max="4" width="18.42578125" bestFit="1" customWidth="1"/>
    <col min="5" max="5" width="22.42578125" bestFit="1" customWidth="1"/>
    <col min="6" max="6" width="12.85546875" customWidth="1"/>
    <col min="7" max="7" width="16.28515625" customWidth="1"/>
    <col min="8" max="8" width="12.28515625" customWidth="1"/>
    <col min="9" max="9" width="10.7109375" bestFit="1" customWidth="1"/>
    <col min="10" max="10" width="32.85546875" customWidth="1"/>
    <col min="11" max="11" width="11.7109375" customWidth="1"/>
    <col min="12" max="12" width="11" customWidth="1"/>
    <col min="13" max="13" width="13.85546875" customWidth="1"/>
    <col min="14" max="14" width="12.5703125" customWidth="1"/>
  </cols>
  <sheetData>
    <row r="1" spans="1:14" ht="45.75">
      <c r="A1" s="2" t="s">
        <v>356</v>
      </c>
      <c r="B1" s="2" t="s">
        <v>357</v>
      </c>
      <c r="C1" s="2" t="s">
        <v>358</v>
      </c>
      <c r="D1" s="2" t="s">
        <v>359</v>
      </c>
      <c r="E1" s="2" t="s">
        <v>360</v>
      </c>
      <c r="F1" s="2" t="s">
        <v>361</v>
      </c>
      <c r="G1" s="2" t="s">
        <v>362</v>
      </c>
      <c r="H1" s="2" t="s">
        <v>363</v>
      </c>
      <c r="I1" s="2" t="s">
        <v>364</v>
      </c>
      <c r="J1" s="2" t="s">
        <v>365</v>
      </c>
      <c r="K1" s="250" t="s">
        <v>366</v>
      </c>
      <c r="L1" s="250" t="s">
        <v>367</v>
      </c>
      <c r="M1" s="250" t="s">
        <v>368</v>
      </c>
      <c r="N1" s="250" t="s">
        <v>369</v>
      </c>
    </row>
    <row r="2" spans="1:14" ht="76.5">
      <c r="A2" t="s">
        <v>370</v>
      </c>
      <c r="B2" t="s">
        <v>371</v>
      </c>
      <c r="C2" t="s">
        <v>372</v>
      </c>
      <c r="D2" t="s">
        <v>373</v>
      </c>
      <c r="E2" t="s">
        <v>374</v>
      </c>
      <c r="F2" t="s">
        <v>375</v>
      </c>
      <c r="G2" t="s">
        <v>375</v>
      </c>
      <c r="H2" t="s">
        <v>375</v>
      </c>
      <c r="I2" t="s">
        <v>376</v>
      </c>
      <c r="J2" s="28" t="s">
        <v>377</v>
      </c>
      <c r="K2" s="251" t="s">
        <v>378</v>
      </c>
      <c r="L2" s="251" t="s">
        <v>379</v>
      </c>
      <c r="M2" s="251" t="s">
        <v>380</v>
      </c>
      <c r="N2" s="251" t="s">
        <v>381</v>
      </c>
    </row>
    <row r="3" spans="1:14" ht="30.75">
      <c r="A3" t="s">
        <v>382</v>
      </c>
      <c r="B3" t="s">
        <v>383</v>
      </c>
      <c r="C3" t="s">
        <v>384</v>
      </c>
      <c r="D3" t="s">
        <v>385</v>
      </c>
      <c r="E3" t="s">
        <v>386</v>
      </c>
      <c r="F3" t="s">
        <v>387</v>
      </c>
      <c r="G3" t="s">
        <v>387</v>
      </c>
      <c r="H3" t="s">
        <v>387</v>
      </c>
      <c r="I3" t="s">
        <v>376</v>
      </c>
      <c r="J3" s="28" t="s">
        <v>388</v>
      </c>
      <c r="K3" s="251" t="s">
        <v>151</v>
      </c>
      <c r="L3" s="251" t="s">
        <v>389</v>
      </c>
      <c r="M3" s="251" t="s">
        <v>390</v>
      </c>
      <c r="N3" s="251" t="s">
        <v>151</v>
      </c>
    </row>
    <row r="4" spans="1:14" ht="45.75">
      <c r="A4" t="s">
        <v>391</v>
      </c>
      <c r="B4" t="s">
        <v>392</v>
      </c>
      <c r="C4" t="s">
        <v>372</v>
      </c>
      <c r="D4" t="s">
        <v>393</v>
      </c>
      <c r="E4" t="s">
        <v>394</v>
      </c>
      <c r="F4" t="s">
        <v>375</v>
      </c>
      <c r="G4" t="s">
        <v>375</v>
      </c>
      <c r="H4" t="s">
        <v>375</v>
      </c>
      <c r="I4" t="s">
        <v>376</v>
      </c>
      <c r="J4" s="28" t="s">
        <v>395</v>
      </c>
      <c r="K4" s="251" t="s">
        <v>378</v>
      </c>
      <c r="L4" s="251" t="s">
        <v>396</v>
      </c>
      <c r="M4" s="251" t="s">
        <v>397</v>
      </c>
      <c r="N4" s="251" t="s">
        <v>378</v>
      </c>
    </row>
    <row r="5" spans="1:14" ht="106.5">
      <c r="A5" t="s">
        <v>398</v>
      </c>
      <c r="B5" t="s">
        <v>399</v>
      </c>
      <c r="C5" t="s">
        <v>384</v>
      </c>
      <c r="D5" t="s">
        <v>400</v>
      </c>
      <c r="E5" t="s">
        <v>401</v>
      </c>
      <c r="F5" t="s">
        <v>387</v>
      </c>
      <c r="G5" t="s">
        <v>376</v>
      </c>
      <c r="H5" t="s">
        <v>387</v>
      </c>
      <c r="I5" t="s">
        <v>376</v>
      </c>
      <c r="J5" s="28" t="s">
        <v>402</v>
      </c>
      <c r="K5" s="251" t="s">
        <v>378</v>
      </c>
      <c r="L5" s="251" t="s">
        <v>403</v>
      </c>
      <c r="M5" s="251" t="s">
        <v>404</v>
      </c>
      <c r="N5" s="251" t="s">
        <v>405</v>
      </c>
    </row>
    <row r="6" spans="1:14">
      <c r="A6" t="s">
        <v>406</v>
      </c>
      <c r="B6" t="s">
        <v>407</v>
      </c>
      <c r="C6" t="s">
        <v>372</v>
      </c>
      <c r="D6" t="s">
        <v>385</v>
      </c>
      <c r="E6" t="s">
        <v>394</v>
      </c>
      <c r="F6" t="s">
        <v>375</v>
      </c>
      <c r="G6" t="s">
        <v>375</v>
      </c>
      <c r="H6" t="s">
        <v>375</v>
      </c>
      <c r="I6" t="s">
        <v>387</v>
      </c>
      <c r="J6" s="28" t="s">
        <v>408</v>
      </c>
      <c r="K6" s="251" t="s">
        <v>151</v>
      </c>
      <c r="L6" s="251"/>
      <c r="M6" s="251"/>
      <c r="N6" s="251"/>
    </row>
    <row r="7" spans="1:14" ht="137.25">
      <c r="A7" t="s">
        <v>409</v>
      </c>
      <c r="B7" t="s">
        <v>410</v>
      </c>
      <c r="C7" t="s">
        <v>411</v>
      </c>
      <c r="D7" t="s">
        <v>412</v>
      </c>
      <c r="E7" t="s">
        <v>394</v>
      </c>
      <c r="F7" t="s">
        <v>387</v>
      </c>
      <c r="G7" t="s">
        <v>376</v>
      </c>
      <c r="H7" t="s">
        <v>387</v>
      </c>
      <c r="I7" t="s">
        <v>387</v>
      </c>
      <c r="J7" s="28" t="s">
        <v>413</v>
      </c>
      <c r="K7" s="251" t="s">
        <v>414</v>
      </c>
      <c r="L7" s="251" t="s">
        <v>415</v>
      </c>
      <c r="M7" s="251" t="s">
        <v>416</v>
      </c>
      <c r="N7" s="251" t="s">
        <v>417</v>
      </c>
    </row>
    <row r="8" spans="1:14" ht="91.5">
      <c r="A8" t="s">
        <v>418</v>
      </c>
      <c r="B8" t="s">
        <v>419</v>
      </c>
      <c r="C8" t="s">
        <v>411</v>
      </c>
      <c r="D8" t="s">
        <v>412</v>
      </c>
      <c r="E8" t="s">
        <v>394</v>
      </c>
      <c r="F8" t="s">
        <v>375</v>
      </c>
      <c r="G8" t="s">
        <v>375</v>
      </c>
      <c r="H8" t="s">
        <v>420</v>
      </c>
      <c r="I8" t="s">
        <v>387</v>
      </c>
      <c r="J8" s="28" t="s">
        <v>421</v>
      </c>
      <c r="K8" s="251" t="s">
        <v>422</v>
      </c>
      <c r="L8" s="251" t="s">
        <v>415</v>
      </c>
      <c r="M8" s="251" t="s">
        <v>423</v>
      </c>
      <c r="N8" s="251" t="s">
        <v>417</v>
      </c>
    </row>
    <row r="9" spans="1:14" ht="321">
      <c r="A9" t="s">
        <v>424</v>
      </c>
      <c r="B9" t="s">
        <v>425</v>
      </c>
      <c r="C9" t="s">
        <v>384</v>
      </c>
      <c r="D9" t="s">
        <v>400</v>
      </c>
      <c r="E9" t="s">
        <v>426</v>
      </c>
      <c r="F9" t="s">
        <v>376</v>
      </c>
      <c r="G9" t="s">
        <v>387</v>
      </c>
      <c r="H9" t="s">
        <v>376</v>
      </c>
      <c r="I9" t="s">
        <v>387</v>
      </c>
      <c r="J9" s="28" t="s">
        <v>427</v>
      </c>
      <c r="K9" s="251" t="s">
        <v>428</v>
      </c>
      <c r="L9" s="251" t="s">
        <v>429</v>
      </c>
      <c r="M9" s="251" t="s">
        <v>430</v>
      </c>
      <c r="N9" s="251" t="s">
        <v>431</v>
      </c>
    </row>
    <row r="10" spans="1:14" ht="91.5">
      <c r="A10" t="s">
        <v>432</v>
      </c>
      <c r="B10" t="s">
        <v>433</v>
      </c>
      <c r="C10" t="s">
        <v>434</v>
      </c>
      <c r="D10" t="s">
        <v>435</v>
      </c>
      <c r="E10" t="s">
        <v>401</v>
      </c>
      <c r="F10" t="s">
        <v>376</v>
      </c>
      <c r="G10" t="s">
        <v>375</v>
      </c>
      <c r="H10" t="s">
        <v>376</v>
      </c>
      <c r="I10" t="s">
        <v>376</v>
      </c>
      <c r="J10" s="28" t="s">
        <v>436</v>
      </c>
      <c r="K10" s="251" t="s">
        <v>378</v>
      </c>
      <c r="L10" s="251" t="s">
        <v>433</v>
      </c>
      <c r="M10" s="251" t="s">
        <v>437</v>
      </c>
      <c r="N10" s="251" t="s">
        <v>438</v>
      </c>
    </row>
    <row r="11" spans="1:14" ht="76.5">
      <c r="A11" t="s">
        <v>439</v>
      </c>
      <c r="B11" t="s">
        <v>440</v>
      </c>
      <c r="C11" t="s">
        <v>434</v>
      </c>
      <c r="D11" t="s">
        <v>435</v>
      </c>
      <c r="E11" t="s">
        <v>401</v>
      </c>
      <c r="F11" t="s">
        <v>376</v>
      </c>
      <c r="G11" t="s">
        <v>375</v>
      </c>
      <c r="H11" t="s">
        <v>376</v>
      </c>
      <c r="I11" t="s">
        <v>376</v>
      </c>
      <c r="J11" s="28" t="s">
        <v>441</v>
      </c>
      <c r="K11" s="251" t="s">
        <v>378</v>
      </c>
      <c r="L11" s="251" t="s">
        <v>440</v>
      </c>
      <c r="M11" s="251" t="s">
        <v>442</v>
      </c>
      <c r="N11" s="251" t="s">
        <v>443</v>
      </c>
    </row>
    <row r="12" spans="1:14" ht="152.25">
      <c r="A12" t="s">
        <v>444</v>
      </c>
      <c r="B12" t="s">
        <v>445</v>
      </c>
      <c r="C12" t="s">
        <v>384</v>
      </c>
      <c r="D12" t="s">
        <v>400</v>
      </c>
      <c r="E12" t="s">
        <v>401</v>
      </c>
      <c r="F12" t="s">
        <v>387</v>
      </c>
      <c r="G12" t="s">
        <v>376</v>
      </c>
      <c r="H12" t="s">
        <v>387</v>
      </c>
      <c r="I12" t="s">
        <v>376</v>
      </c>
      <c r="J12" s="28" t="s">
        <v>446</v>
      </c>
      <c r="K12" s="251" t="s">
        <v>378</v>
      </c>
      <c r="L12" s="251" t="s">
        <v>403</v>
      </c>
      <c r="M12" s="251" t="s">
        <v>447</v>
      </c>
      <c r="N12" s="251" t="s">
        <v>448</v>
      </c>
    </row>
    <row r="13" spans="1:14" ht="121.5">
      <c r="A13" t="s">
        <v>449</v>
      </c>
      <c r="B13" t="s">
        <v>450</v>
      </c>
      <c r="C13" t="s">
        <v>384</v>
      </c>
      <c r="D13" t="s">
        <v>400</v>
      </c>
      <c r="E13" t="s">
        <v>374</v>
      </c>
      <c r="F13" t="s">
        <v>420</v>
      </c>
      <c r="G13" t="s">
        <v>375</v>
      </c>
      <c r="H13" t="s">
        <v>375</v>
      </c>
      <c r="I13" t="s">
        <v>420</v>
      </c>
      <c r="J13" s="28" t="s">
        <v>451</v>
      </c>
      <c r="K13" s="251" t="s">
        <v>378</v>
      </c>
      <c r="L13" s="251" t="s">
        <v>452</v>
      </c>
      <c r="M13" s="251" t="s">
        <v>453</v>
      </c>
      <c r="N13" s="251" t="s">
        <v>454</v>
      </c>
    </row>
    <row r="14" spans="1:14" ht="91.5">
      <c r="A14" t="s">
        <v>455</v>
      </c>
      <c r="B14" t="s">
        <v>456</v>
      </c>
      <c r="C14" t="s">
        <v>384</v>
      </c>
      <c r="D14" t="s">
        <v>400</v>
      </c>
      <c r="E14" t="s">
        <v>386</v>
      </c>
      <c r="F14" t="s">
        <v>420</v>
      </c>
      <c r="G14" t="s">
        <v>387</v>
      </c>
      <c r="H14" t="s">
        <v>420</v>
      </c>
      <c r="I14" t="s">
        <v>420</v>
      </c>
      <c r="J14" s="28" t="s">
        <v>457</v>
      </c>
      <c r="K14" s="251" t="s">
        <v>151</v>
      </c>
      <c r="L14" s="251" t="s">
        <v>458</v>
      </c>
      <c r="M14" s="251" t="s">
        <v>459</v>
      </c>
      <c r="N14" s="251" t="s">
        <v>151</v>
      </c>
    </row>
    <row r="15" spans="1:14" ht="106.5">
      <c r="A15" t="s">
        <v>460</v>
      </c>
      <c r="B15" t="s">
        <v>461</v>
      </c>
      <c r="C15" t="s">
        <v>384</v>
      </c>
      <c r="D15" t="s">
        <v>400</v>
      </c>
      <c r="E15" t="s">
        <v>394</v>
      </c>
      <c r="F15" t="s">
        <v>375</v>
      </c>
      <c r="G15" t="s">
        <v>375</v>
      </c>
      <c r="H15" t="s">
        <v>375</v>
      </c>
      <c r="I15" t="s">
        <v>420</v>
      </c>
      <c r="J15" s="28" t="s">
        <v>462</v>
      </c>
      <c r="K15" s="251" t="s">
        <v>378</v>
      </c>
      <c r="L15" s="251" t="s">
        <v>463</v>
      </c>
      <c r="M15" s="251" t="s">
        <v>464</v>
      </c>
      <c r="N15" s="251" t="s">
        <v>465</v>
      </c>
    </row>
    <row r="16" spans="1:14" ht="106.5">
      <c r="A16" t="s">
        <v>466</v>
      </c>
      <c r="B16" t="s">
        <v>467</v>
      </c>
      <c r="C16" t="s">
        <v>384</v>
      </c>
      <c r="D16" t="s">
        <v>400</v>
      </c>
      <c r="E16" t="s">
        <v>386</v>
      </c>
      <c r="F16" t="s">
        <v>375</v>
      </c>
      <c r="G16" t="s">
        <v>375</v>
      </c>
      <c r="H16" t="s">
        <v>375</v>
      </c>
      <c r="I16" t="s">
        <v>420</v>
      </c>
      <c r="J16" s="28" t="s">
        <v>468</v>
      </c>
      <c r="K16" s="251" t="s">
        <v>378</v>
      </c>
      <c r="L16" s="251" t="s">
        <v>463</v>
      </c>
      <c r="M16" s="251" t="s">
        <v>469</v>
      </c>
      <c r="N16" s="251" t="s">
        <v>465</v>
      </c>
    </row>
    <row r="17" spans="1:14" ht="106.5">
      <c r="A17" t="s">
        <v>470</v>
      </c>
      <c r="B17" t="s">
        <v>471</v>
      </c>
      <c r="C17" t="s">
        <v>434</v>
      </c>
      <c r="D17" t="s">
        <v>412</v>
      </c>
      <c r="E17" t="s">
        <v>472</v>
      </c>
      <c r="F17" t="s">
        <v>375</v>
      </c>
      <c r="G17" t="s">
        <v>375</v>
      </c>
      <c r="H17" t="s">
        <v>375</v>
      </c>
      <c r="I17" t="s">
        <v>420</v>
      </c>
      <c r="J17" s="28" t="s">
        <v>473</v>
      </c>
      <c r="K17" s="251" t="s">
        <v>474</v>
      </c>
      <c r="L17" s="251" t="s">
        <v>475</v>
      </c>
      <c r="M17" s="251" t="s">
        <v>476</v>
      </c>
      <c r="N17" s="251" t="s">
        <v>477</v>
      </c>
    </row>
    <row r="18" spans="1:14" ht="91.5">
      <c r="A18" t="s">
        <v>478</v>
      </c>
      <c r="B18" t="s">
        <v>479</v>
      </c>
      <c r="C18" t="s">
        <v>434</v>
      </c>
      <c r="D18" t="s">
        <v>412</v>
      </c>
      <c r="E18" t="s">
        <v>472</v>
      </c>
      <c r="F18" t="s">
        <v>375</v>
      </c>
      <c r="G18" t="s">
        <v>375</v>
      </c>
      <c r="H18" t="s">
        <v>375</v>
      </c>
      <c r="I18" t="s">
        <v>420</v>
      </c>
      <c r="J18" s="28" t="s">
        <v>480</v>
      </c>
      <c r="K18" s="251" t="s">
        <v>378</v>
      </c>
      <c r="L18" s="251" t="s">
        <v>481</v>
      </c>
      <c r="M18" s="251" t="s">
        <v>482</v>
      </c>
      <c r="N18" s="251" t="s">
        <v>465</v>
      </c>
    </row>
    <row r="19" spans="1:14" ht="76.5">
      <c r="A19" t="s">
        <v>483</v>
      </c>
      <c r="B19" t="s">
        <v>484</v>
      </c>
      <c r="C19" t="s">
        <v>434</v>
      </c>
      <c r="D19" t="s">
        <v>412</v>
      </c>
      <c r="E19" t="s">
        <v>472</v>
      </c>
      <c r="F19" t="s">
        <v>375</v>
      </c>
      <c r="G19" t="s">
        <v>375</v>
      </c>
      <c r="H19" t="s">
        <v>375</v>
      </c>
      <c r="I19" t="s">
        <v>375</v>
      </c>
      <c r="J19" s="28" t="s">
        <v>485</v>
      </c>
      <c r="K19" s="251" t="s">
        <v>474</v>
      </c>
      <c r="L19" s="251" t="s">
        <v>486</v>
      </c>
      <c r="M19" s="251" t="s">
        <v>487</v>
      </c>
      <c r="N19" s="251" t="s">
        <v>465</v>
      </c>
    </row>
    <row r="20" spans="1:14" ht="121.5">
      <c r="A20" t="s">
        <v>488</v>
      </c>
      <c r="B20" t="s">
        <v>489</v>
      </c>
      <c r="C20" t="s">
        <v>372</v>
      </c>
      <c r="D20" t="s">
        <v>412</v>
      </c>
      <c r="E20" s="28" t="s">
        <v>490</v>
      </c>
      <c r="F20" t="s">
        <v>387</v>
      </c>
      <c r="G20" t="s">
        <v>420</v>
      </c>
      <c r="H20" t="s">
        <v>387</v>
      </c>
      <c r="I20" t="s">
        <v>387</v>
      </c>
      <c r="J20" s="28" t="s">
        <v>491</v>
      </c>
      <c r="K20" s="251" t="s">
        <v>378</v>
      </c>
      <c r="L20" s="251" t="s">
        <v>492</v>
      </c>
      <c r="M20" s="251" t="s">
        <v>493</v>
      </c>
      <c r="N20" s="251" t="s">
        <v>494</v>
      </c>
    </row>
    <row r="21" spans="1:14" ht="60.75">
      <c r="A21" t="s">
        <v>495</v>
      </c>
      <c r="B21" t="s">
        <v>496</v>
      </c>
      <c r="C21" t="s">
        <v>372</v>
      </c>
      <c r="D21" t="s">
        <v>412</v>
      </c>
      <c r="E21" t="s">
        <v>497</v>
      </c>
      <c r="F21" t="s">
        <v>375</v>
      </c>
      <c r="G21" t="s">
        <v>375</v>
      </c>
      <c r="H21" t="s">
        <v>387</v>
      </c>
      <c r="I21" t="s">
        <v>387</v>
      </c>
      <c r="J21" s="28" t="s">
        <v>498</v>
      </c>
      <c r="K21" s="251" t="s">
        <v>151</v>
      </c>
      <c r="L21" s="251" t="s">
        <v>151</v>
      </c>
      <c r="M21" s="251" t="s">
        <v>151</v>
      </c>
      <c r="N21" s="251" t="s">
        <v>151</v>
      </c>
    </row>
  </sheetData>
  <phoneticPr fontId="5" type="noConversion"/>
  <dataValidations count="1">
    <dataValidation type="custom" allowBlank="1" showInputMessage="1" showErrorMessage="1" errorTitle="Duplicate Asset ID" error="This Asset ID already exists in the Asset Register. Please enter a unique Asset ID." sqref="A1:A1048576" xr:uid="{607D8C70-C793-874B-83BC-11C97B248957}">
      <formula1>COUNTIF(A:A, A1)=1</formula1>
    </dataValidation>
  </dataValidations>
  <pageMargins left="0.75" right="0.75" top="1" bottom="1" header="0.5" footer="0.5"/>
  <pageSetup paperSize="9" orientation="portrait" horizontalDpi="0" verticalDpi="0"/>
  <drawing r:id="rId1"/>
  <extLst>
    <ext xmlns:x14="http://schemas.microsoft.com/office/spreadsheetml/2009/9/main" uri="{CCE6A557-97BC-4b89-ADB6-D9C93CAAB3DF}">
      <x14:dataValidations xmlns:xm="http://schemas.microsoft.com/office/excel/2006/main" count="7">
        <x14:dataValidation type="list" allowBlank="1" showInputMessage="1" showErrorMessage="1" promptTitle="Select appropriate asset type." prompt="Asset types may be Information, People, Process or Technology." xr:uid="{870F6910-EDAF-4E35-A643-2DD6943C2F55}">
          <x14:formula1>
            <xm:f>'Instructions and Definitions'!$G$5:$G$8</xm:f>
          </x14:formula1>
          <xm:sqref>C31:C49</xm:sqref>
        </x14:dataValidation>
        <x14:dataValidation type="list" allowBlank="1" showInputMessage="1" showErrorMessage="1" xr:uid="{764CA7EC-7950-4D71-995F-57AF4A8C464E}">
          <x14:formula1>
            <xm:f>'Instructions and Definitions'!$B$12:$D$12</xm:f>
          </x14:formula1>
          <xm:sqref>H2:H49</xm:sqref>
        </x14:dataValidation>
        <x14:dataValidation type="list" allowBlank="1" showInputMessage="1" showErrorMessage="1" promptTitle="Select appropriate asset value:" prompt="Deatails about how value of asset may be determined is provided in the sheet &quot;Instructinos and Definitions&quot;." xr:uid="{D6CB52D2-B7FB-4C08-925C-9137CBE861DE}">
          <x14:formula1>
            <xm:f>'Instructions and Definitions'!$B$4:$D$4</xm:f>
          </x14:formula1>
          <xm:sqref>F2:F49</xm:sqref>
        </x14:dataValidation>
        <x14:dataValidation type="list" allowBlank="1" showInputMessage="1" showErrorMessage="1" xr:uid="{E172072F-860B-4253-A782-5C929811A023}">
          <x14:formula1>
            <xm:f>'Instructions and Definitions'!$B$8:$D$8</xm:f>
          </x14:formula1>
          <xm:sqref>G2:G49</xm:sqref>
        </x14:dataValidation>
        <x14:dataValidation type="list" allowBlank="1" showInputMessage="1" showErrorMessage="1" xr:uid="{575426BD-3FE7-4535-B658-D025354A2B1D}">
          <x14:formula1>
            <xm:f>'Instructions and Definitions'!$B$16:$D$16</xm:f>
          </x14:formula1>
          <xm:sqref>I2:I49</xm:sqref>
        </x14:dataValidation>
        <x14:dataValidation type="list" allowBlank="1" showInputMessage="1" showErrorMessage="1" promptTitle="List of possible asset owners:" prompt="Comsulting Team, HR Team, IT Team, Sales Team, or Training Team." xr:uid="{0DAD4030-958A-4518-99F9-3035F3A5622C}">
          <x14:formula1>
            <xm:f>'Instructions and Definitions'!$G$10:$G$15</xm:f>
          </x14:formula1>
          <xm:sqref>D2:D80</xm:sqref>
        </x14:dataValidation>
        <x14:dataValidation type="list" allowBlank="1" showInputMessage="1" showErrorMessage="1" promptTitle="Select appropriate asset type." prompt="Asset types may be Information, People, Process or Technology." xr:uid="{7D8F79F6-F2EA-064E-9BDC-382AB5775933}">
          <x14:formula1>
            <xm:f>'Instructions and Definitions'!$G$3:$G$6</xm:f>
          </x14:formula1>
          <xm:sqref>C2:C30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DF8CC-A8FD-2244-A797-9191FCE051E3}">
  <dimension ref="A1:D114"/>
  <sheetViews>
    <sheetView topLeftCell="B1" zoomScale="165" workbookViewId="0">
      <selection activeCell="F1" sqref="F1"/>
    </sheetView>
  </sheetViews>
  <sheetFormatPr defaultColWidth="11.42578125" defaultRowHeight="15"/>
  <cols>
    <col min="1" max="1" width="18.7109375" bestFit="1" customWidth="1"/>
    <col min="2" max="2" width="14.42578125" bestFit="1" customWidth="1"/>
    <col min="3" max="3" width="63.140625" customWidth="1"/>
    <col min="4" max="4" width="31" bestFit="1" customWidth="1"/>
  </cols>
  <sheetData>
    <row r="1" spans="1:4">
      <c r="A1" s="1" t="s">
        <v>499</v>
      </c>
      <c r="B1" s="1" t="s">
        <v>500</v>
      </c>
      <c r="C1" s="1" t="s">
        <v>501</v>
      </c>
      <c r="D1" s="1" t="s">
        <v>502</v>
      </c>
    </row>
    <row r="2" spans="1:4" ht="32.1">
      <c r="A2" t="s">
        <v>389</v>
      </c>
      <c r="B2" t="s">
        <v>503</v>
      </c>
      <c r="C2" s="28" t="s">
        <v>504</v>
      </c>
      <c r="D2" t="s">
        <v>349</v>
      </c>
    </row>
    <row r="3" spans="1:4" ht="15.95">
      <c r="A3" t="s">
        <v>389</v>
      </c>
      <c r="B3" t="s">
        <v>503</v>
      </c>
      <c r="C3" s="28" t="s">
        <v>505</v>
      </c>
      <c r="D3" t="s">
        <v>349</v>
      </c>
    </row>
    <row r="4" spans="1:4" ht="32.1">
      <c r="A4" t="s">
        <v>506</v>
      </c>
      <c r="B4" t="s">
        <v>503</v>
      </c>
      <c r="C4" s="28" t="s">
        <v>504</v>
      </c>
      <c r="D4" t="s">
        <v>507</v>
      </c>
    </row>
    <row r="5" spans="1:4" ht="32.1">
      <c r="A5" t="s">
        <v>508</v>
      </c>
      <c r="B5" t="s">
        <v>503</v>
      </c>
      <c r="C5" s="28" t="s">
        <v>504</v>
      </c>
      <c r="D5" t="s">
        <v>507</v>
      </c>
    </row>
    <row r="6" spans="1:4" ht="15.95">
      <c r="A6" t="s">
        <v>440</v>
      </c>
      <c r="B6" t="s">
        <v>509</v>
      </c>
      <c r="C6" s="28" t="s">
        <v>510</v>
      </c>
      <c r="D6" t="s">
        <v>349</v>
      </c>
    </row>
    <row r="7" spans="1:4" ht="15.95">
      <c r="A7" t="s">
        <v>471</v>
      </c>
      <c r="B7" t="s">
        <v>503</v>
      </c>
      <c r="C7" s="28" t="s">
        <v>511</v>
      </c>
      <c r="D7" t="s">
        <v>160</v>
      </c>
    </row>
    <row r="8" spans="1:4" ht="15.95">
      <c r="A8" t="s">
        <v>471</v>
      </c>
      <c r="B8" t="s">
        <v>503</v>
      </c>
      <c r="C8" s="28" t="s">
        <v>512</v>
      </c>
      <c r="D8" t="s">
        <v>160</v>
      </c>
    </row>
    <row r="9" spans="1:4" ht="32.1">
      <c r="A9" t="s">
        <v>471</v>
      </c>
      <c r="B9" t="s">
        <v>503</v>
      </c>
      <c r="C9" s="28" t="s">
        <v>513</v>
      </c>
      <c r="D9" t="s">
        <v>160</v>
      </c>
    </row>
    <row r="10" spans="1:4" ht="15.95">
      <c r="A10" t="s">
        <v>484</v>
      </c>
      <c r="B10" t="s">
        <v>509</v>
      </c>
      <c r="C10" s="28" t="s">
        <v>514</v>
      </c>
      <c r="D10" t="s">
        <v>325</v>
      </c>
    </row>
    <row r="11" spans="1:4" ht="15.95">
      <c r="A11" t="s">
        <v>484</v>
      </c>
      <c r="B11" t="s">
        <v>509</v>
      </c>
      <c r="C11" s="28" t="s">
        <v>515</v>
      </c>
      <c r="D11" t="s">
        <v>325</v>
      </c>
    </row>
    <row r="12" spans="1:4">
      <c r="C12" s="28"/>
    </row>
    <row r="13" spans="1:4">
      <c r="C13" s="28"/>
    </row>
    <row r="14" spans="1:4">
      <c r="C14" s="28"/>
    </row>
    <row r="15" spans="1:4">
      <c r="C15" s="28"/>
    </row>
    <row r="16" spans="1:4">
      <c r="C16" s="28"/>
    </row>
    <row r="17" spans="3:3">
      <c r="C17" s="28"/>
    </row>
    <row r="18" spans="3:3">
      <c r="C18" s="28"/>
    </row>
    <row r="19" spans="3:3">
      <c r="C19" s="28"/>
    </row>
    <row r="20" spans="3:3">
      <c r="C20" s="28"/>
    </row>
    <row r="21" spans="3:3">
      <c r="C21" s="28"/>
    </row>
    <row r="22" spans="3:3">
      <c r="C22" s="28"/>
    </row>
    <row r="23" spans="3:3">
      <c r="C23" s="28"/>
    </row>
    <row r="24" spans="3:3">
      <c r="C24" s="28"/>
    </row>
    <row r="25" spans="3:3">
      <c r="C25" s="28"/>
    </row>
    <row r="26" spans="3:3">
      <c r="C26" s="28"/>
    </row>
    <row r="27" spans="3:3">
      <c r="C27" s="28"/>
    </row>
    <row r="28" spans="3:3">
      <c r="C28" s="28"/>
    </row>
    <row r="29" spans="3:3">
      <c r="C29" s="28"/>
    </row>
    <row r="30" spans="3:3">
      <c r="C30" s="28"/>
    </row>
    <row r="31" spans="3:3">
      <c r="C31" s="28"/>
    </row>
    <row r="32" spans="3:3">
      <c r="C32" s="28"/>
    </row>
    <row r="33" spans="3:3">
      <c r="C33" s="28"/>
    </row>
    <row r="34" spans="3:3">
      <c r="C34" s="28"/>
    </row>
    <row r="35" spans="3:3">
      <c r="C35" s="28"/>
    </row>
    <row r="36" spans="3:3">
      <c r="C36" s="28"/>
    </row>
    <row r="37" spans="3:3">
      <c r="C37" s="28"/>
    </row>
    <row r="38" spans="3:3">
      <c r="C38" s="28"/>
    </row>
    <row r="39" spans="3:3">
      <c r="C39" s="28"/>
    </row>
    <row r="40" spans="3:3">
      <c r="C40" s="28"/>
    </row>
    <row r="41" spans="3:3">
      <c r="C41" s="28"/>
    </row>
    <row r="42" spans="3:3">
      <c r="C42" s="28"/>
    </row>
    <row r="43" spans="3:3">
      <c r="C43" s="28"/>
    </row>
    <row r="44" spans="3:3">
      <c r="C44" s="28"/>
    </row>
    <row r="45" spans="3:3">
      <c r="C45" s="28"/>
    </row>
    <row r="46" spans="3:3">
      <c r="C46" s="28"/>
    </row>
    <row r="104" spans="2:3">
      <c r="B104" s="1" t="s">
        <v>500</v>
      </c>
      <c r="C104" s="1" t="s">
        <v>501</v>
      </c>
    </row>
    <row r="105" spans="2:3" ht="15.95">
      <c r="B105" t="s">
        <v>509</v>
      </c>
      <c r="C105" s="214" t="s">
        <v>510</v>
      </c>
    </row>
    <row r="106" spans="2:3" ht="15.95">
      <c r="B106" t="s">
        <v>503</v>
      </c>
      <c r="C106" s="214" t="s">
        <v>514</v>
      </c>
    </row>
    <row r="107" spans="2:3" ht="15.95">
      <c r="C107" s="214" t="s">
        <v>516</v>
      </c>
    </row>
    <row r="108" spans="2:3" ht="15.95">
      <c r="C108" s="214" t="s">
        <v>515</v>
      </c>
    </row>
    <row r="109" spans="2:3" ht="15.95">
      <c r="C109" s="214" t="s">
        <v>517</v>
      </c>
    </row>
    <row r="110" spans="2:3" ht="17.100000000000001">
      <c r="C110" s="215" t="s">
        <v>518</v>
      </c>
    </row>
    <row r="111" spans="2:3" ht="33.950000000000003">
      <c r="C111" s="215" t="s">
        <v>519</v>
      </c>
    </row>
    <row r="112" spans="2:3" ht="17.100000000000001">
      <c r="C112" s="215" t="s">
        <v>520</v>
      </c>
    </row>
    <row r="113" spans="3:3" ht="33.950000000000003">
      <c r="C113" s="215" t="s">
        <v>521</v>
      </c>
    </row>
    <row r="114" spans="3:3" ht="17.100000000000001">
      <c r="C114" s="216" t="s">
        <v>505</v>
      </c>
    </row>
  </sheetData>
  <dataValidations count="2">
    <dataValidation type="list" allowBlank="1" showInputMessage="1" showErrorMessage="1" sqref="B2:B103" xr:uid="{DB1E0247-3E85-024B-A911-48585C453CCF}">
      <formula1>$B$105:$B$106</formula1>
    </dataValidation>
    <dataValidation type="list" allowBlank="1" showInputMessage="1" showErrorMessage="1" sqref="C2:C103" xr:uid="{46048735-3621-704D-AD1B-C9E378A9763B}">
      <formula1>$C$105:$C$114</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41F365D-1A83-6F4D-9983-96D39028C54D}">
          <x14:formula1>
            <xm:f>'Instructions and Definitions'!$G$22:$G$33</xm:f>
          </x14:formula1>
          <xm:sqref>D2:D98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13DFC-8241-433E-A9D8-56ADBD8DBD37}">
  <sheetPr codeName="Sheet1"/>
  <dimension ref="A1:Q127"/>
  <sheetViews>
    <sheetView topLeftCell="B24" workbookViewId="0">
      <selection activeCell="G31" sqref="G31"/>
    </sheetView>
  </sheetViews>
  <sheetFormatPr defaultColWidth="8.85546875" defaultRowHeight="15"/>
  <cols>
    <col min="1" max="1" width="16.85546875" style="1" bestFit="1" customWidth="1"/>
    <col min="2" max="2" width="56.28515625" customWidth="1"/>
    <col min="3" max="3" width="21.140625" customWidth="1"/>
    <col min="4" max="4" width="22.85546875" customWidth="1"/>
    <col min="6" max="6" width="22.140625" customWidth="1"/>
    <col min="7" max="7" width="61.42578125" bestFit="1" customWidth="1"/>
    <col min="8" max="8" width="18.85546875" customWidth="1"/>
    <col min="9" max="9" width="38.28515625" bestFit="1" customWidth="1"/>
    <col min="10" max="10" width="58.42578125" customWidth="1"/>
    <col min="11" max="11" width="64.140625" customWidth="1"/>
    <col min="12" max="13" width="59.85546875" customWidth="1"/>
    <col min="14" max="14" width="19.7109375" customWidth="1"/>
    <col min="15" max="15" width="14.42578125" bestFit="1" customWidth="1"/>
    <col min="16" max="16" width="22.28515625" bestFit="1" customWidth="1"/>
    <col min="17" max="17" width="44.140625" customWidth="1"/>
    <col min="18" max="18" width="45" customWidth="1"/>
  </cols>
  <sheetData>
    <row r="1" spans="2:17" ht="21.95" thickBot="1">
      <c r="B1" t="s">
        <v>522</v>
      </c>
      <c r="I1" s="343" t="s">
        <v>19</v>
      </c>
      <c r="J1" s="343"/>
      <c r="K1" s="343"/>
      <c r="L1" s="343"/>
      <c r="M1" s="343"/>
      <c r="N1" s="343"/>
      <c r="O1" s="343"/>
    </row>
    <row r="2" spans="2:17" ht="20.100000000000001" thickBot="1">
      <c r="F2" s="1"/>
      <c r="G2" s="79" t="s">
        <v>523</v>
      </c>
      <c r="H2" s="99"/>
      <c r="I2" s="107" t="s">
        <v>524</v>
      </c>
      <c r="J2" s="187" t="s">
        <v>525</v>
      </c>
      <c r="K2" s="187" t="s">
        <v>526</v>
      </c>
      <c r="L2" s="106" t="s">
        <v>527</v>
      </c>
      <c r="M2" s="20" t="s">
        <v>527</v>
      </c>
      <c r="N2" s="104" t="s">
        <v>528</v>
      </c>
      <c r="O2" s="104" t="s">
        <v>529</v>
      </c>
      <c r="P2" s="106" t="s">
        <v>530</v>
      </c>
      <c r="Q2" s="20" t="s">
        <v>531</v>
      </c>
    </row>
    <row r="3" spans="2:17" ht="15.95">
      <c r="B3" s="344" t="s">
        <v>532</v>
      </c>
      <c r="C3" s="345"/>
      <c r="D3" s="346"/>
      <c r="F3" s="1"/>
      <c r="G3" s="80" t="s">
        <v>372</v>
      </c>
      <c r="I3" s="194" t="s">
        <v>371</v>
      </c>
      <c r="J3" s="195" t="s">
        <v>533</v>
      </c>
      <c r="K3" s="196" t="s">
        <v>534</v>
      </c>
      <c r="L3" s="197" t="s">
        <v>535</v>
      </c>
      <c r="M3" s="28"/>
      <c r="N3" s="80">
        <v>1</v>
      </c>
      <c r="O3" s="80">
        <v>1</v>
      </c>
      <c r="P3" s="105" t="s">
        <v>536</v>
      </c>
      <c r="Q3" t="s">
        <v>537</v>
      </c>
    </row>
    <row r="4" spans="2:17" ht="32.1">
      <c r="B4" s="71" t="s">
        <v>387</v>
      </c>
      <c r="C4" s="70" t="s">
        <v>420</v>
      </c>
      <c r="D4" s="72" t="s">
        <v>375</v>
      </c>
      <c r="F4" s="1"/>
      <c r="G4" s="81" t="s">
        <v>434</v>
      </c>
      <c r="I4" s="117"/>
      <c r="J4" s="28" t="s">
        <v>538</v>
      </c>
      <c r="K4" t="s">
        <v>539</v>
      </c>
      <c r="L4" s="7" t="s">
        <v>540</v>
      </c>
      <c r="N4" s="81">
        <v>2</v>
      </c>
      <c r="O4" s="81">
        <v>2</v>
      </c>
      <c r="P4" s="7" t="s">
        <v>541</v>
      </c>
      <c r="Q4" t="s">
        <v>542</v>
      </c>
    </row>
    <row r="5" spans="2:17" ht="48.95" thickBot="1">
      <c r="B5" s="67" t="s">
        <v>543</v>
      </c>
      <c r="C5" s="68" t="s">
        <v>544</v>
      </c>
      <c r="D5" s="69" t="s">
        <v>545</v>
      </c>
      <c r="F5" s="1"/>
      <c r="G5" s="81" t="s">
        <v>411</v>
      </c>
      <c r="I5" s="117"/>
      <c r="J5" s="34" t="s">
        <v>546</v>
      </c>
      <c r="K5" t="s">
        <v>547</v>
      </c>
      <c r="L5" s="189" t="s">
        <v>548</v>
      </c>
      <c r="M5" s="28"/>
      <c r="N5" s="82">
        <v>3</v>
      </c>
      <c r="O5" s="82">
        <v>3</v>
      </c>
      <c r="P5" s="7" t="s">
        <v>549</v>
      </c>
      <c r="Q5" t="s">
        <v>550</v>
      </c>
    </row>
    <row r="6" spans="2:17" ht="33" thickBot="1">
      <c r="B6" s="18"/>
      <c r="C6" s="18"/>
      <c r="D6" s="18"/>
      <c r="F6" s="1"/>
      <c r="G6" s="82" t="s">
        <v>384</v>
      </c>
      <c r="I6" s="118"/>
      <c r="J6" s="28" t="s">
        <v>551</v>
      </c>
      <c r="K6" t="s">
        <v>552</v>
      </c>
      <c r="L6" s="189" t="s">
        <v>553</v>
      </c>
      <c r="M6" s="28"/>
      <c r="N6" s="1"/>
      <c r="P6" s="82" t="s">
        <v>554</v>
      </c>
      <c r="Q6" t="s">
        <v>555</v>
      </c>
    </row>
    <row r="7" spans="2:17" ht="32.1">
      <c r="B7" s="344" t="s">
        <v>362</v>
      </c>
      <c r="C7" s="345"/>
      <c r="D7" s="346"/>
      <c r="F7" s="1"/>
      <c r="I7" s="116" t="s">
        <v>383</v>
      </c>
      <c r="J7" s="35" t="s">
        <v>556</v>
      </c>
      <c r="K7" s="35" t="s">
        <v>557</v>
      </c>
      <c r="L7" s="188" t="s">
        <v>558</v>
      </c>
      <c r="M7" s="28"/>
      <c r="N7" s="1"/>
      <c r="Q7" t="s">
        <v>559</v>
      </c>
    </row>
    <row r="8" spans="2:17" ht="61.5" customHeight="1" thickBot="1">
      <c r="B8" s="71" t="s">
        <v>387</v>
      </c>
      <c r="C8" s="70" t="s">
        <v>420</v>
      </c>
      <c r="D8" s="72" t="s">
        <v>375</v>
      </c>
      <c r="F8" s="1"/>
      <c r="I8" s="117"/>
      <c r="J8" s="28" t="s">
        <v>560</v>
      </c>
      <c r="K8" s="28" t="s">
        <v>561</v>
      </c>
      <c r="L8" s="189" t="s">
        <v>562</v>
      </c>
      <c r="M8" s="28"/>
      <c r="N8" s="1"/>
    </row>
    <row r="9" spans="2:17" ht="48.95" thickBot="1">
      <c r="B9" s="67" t="s">
        <v>563</v>
      </c>
      <c r="C9" s="68" t="s">
        <v>564</v>
      </c>
      <c r="D9" s="69" t="s">
        <v>565</v>
      </c>
      <c r="F9" s="1"/>
      <c r="G9" s="83" t="s">
        <v>566</v>
      </c>
      <c r="H9" s="100"/>
      <c r="I9" s="117"/>
      <c r="J9" s="28" t="s">
        <v>567</v>
      </c>
      <c r="K9" s="28" t="s">
        <v>568</v>
      </c>
      <c r="L9" s="189" t="s">
        <v>569</v>
      </c>
      <c r="M9" s="28"/>
      <c r="N9" s="1"/>
    </row>
    <row r="10" spans="2:17" ht="33" thickBot="1">
      <c r="B10" s="18"/>
      <c r="C10" s="18"/>
      <c r="D10" s="18"/>
      <c r="F10" s="1"/>
      <c r="G10" s="80" t="s">
        <v>393</v>
      </c>
      <c r="I10" s="118"/>
      <c r="J10" s="28" t="s">
        <v>570</v>
      </c>
      <c r="K10" s="28" t="s">
        <v>571</v>
      </c>
      <c r="L10" s="189"/>
      <c r="M10" s="28"/>
      <c r="N10" s="1"/>
    </row>
    <row r="11" spans="2:17" ht="32.1">
      <c r="B11" s="344" t="s">
        <v>363</v>
      </c>
      <c r="C11" s="345"/>
      <c r="D11" s="346"/>
      <c r="F11" s="1"/>
      <c r="G11" s="81" t="s">
        <v>435</v>
      </c>
      <c r="I11" s="116" t="s">
        <v>392</v>
      </c>
      <c r="J11" s="36" t="s">
        <v>572</v>
      </c>
      <c r="K11" s="36" t="s">
        <v>573</v>
      </c>
      <c r="L11" s="190" t="s">
        <v>574</v>
      </c>
      <c r="M11" s="28"/>
      <c r="N11" s="1"/>
    </row>
    <row r="12" spans="2:17" ht="32.1">
      <c r="B12" s="71" t="s">
        <v>387</v>
      </c>
      <c r="C12" s="70" t="s">
        <v>420</v>
      </c>
      <c r="D12" s="72" t="s">
        <v>375</v>
      </c>
      <c r="F12" s="1"/>
      <c r="G12" s="81" t="s">
        <v>400</v>
      </c>
      <c r="I12" s="117"/>
      <c r="J12" s="28" t="s">
        <v>575</v>
      </c>
      <c r="K12" s="28" t="s">
        <v>576</v>
      </c>
      <c r="L12" s="189" t="s">
        <v>577</v>
      </c>
      <c r="M12" s="28"/>
      <c r="N12" s="1"/>
    </row>
    <row r="13" spans="2:17" ht="48.95" thickBot="1">
      <c r="B13" s="67" t="s">
        <v>578</v>
      </c>
      <c r="C13" s="68" t="s">
        <v>579</v>
      </c>
      <c r="D13" s="69" t="s">
        <v>580</v>
      </c>
      <c r="F13" s="1"/>
      <c r="G13" s="81" t="s">
        <v>373</v>
      </c>
      <c r="I13" s="117"/>
      <c r="J13" s="28" t="s">
        <v>581</v>
      </c>
      <c r="K13" s="28" t="s">
        <v>582</v>
      </c>
      <c r="L13" s="189" t="s">
        <v>583</v>
      </c>
      <c r="M13" s="28"/>
      <c r="N13" s="1"/>
    </row>
    <row r="14" spans="2:17" ht="33" thickBot="1">
      <c r="B14" s="18"/>
      <c r="C14" s="18"/>
      <c r="D14" s="18"/>
      <c r="F14" s="1"/>
      <c r="G14" s="81" t="s">
        <v>385</v>
      </c>
      <c r="I14" s="118"/>
      <c r="J14" s="37" t="s">
        <v>584</v>
      </c>
      <c r="K14" s="37" t="s">
        <v>585</v>
      </c>
      <c r="L14" s="191"/>
      <c r="M14" s="28"/>
      <c r="N14" s="1"/>
    </row>
    <row r="15" spans="2:17" ht="33" thickBot="1">
      <c r="B15" s="344" t="s">
        <v>364</v>
      </c>
      <c r="C15" s="345"/>
      <c r="D15" s="346"/>
      <c r="F15" s="1"/>
      <c r="G15" s="82" t="s">
        <v>412</v>
      </c>
      <c r="I15" s="116" t="s">
        <v>399</v>
      </c>
      <c r="J15" s="36" t="s">
        <v>586</v>
      </c>
      <c r="K15" s="36" t="s">
        <v>587</v>
      </c>
      <c r="L15" s="190" t="s">
        <v>588</v>
      </c>
      <c r="M15" s="28"/>
      <c r="N15" s="1"/>
    </row>
    <row r="16" spans="2:17" ht="32.1">
      <c r="B16" s="71" t="s">
        <v>387</v>
      </c>
      <c r="C16" s="70" t="s">
        <v>420</v>
      </c>
      <c r="D16" s="72" t="s">
        <v>375</v>
      </c>
      <c r="F16" s="1"/>
      <c r="I16" s="117"/>
      <c r="J16" s="28" t="s">
        <v>589</v>
      </c>
      <c r="K16" s="28" t="s">
        <v>590</v>
      </c>
      <c r="L16" s="189" t="s">
        <v>591</v>
      </c>
      <c r="M16" s="28"/>
      <c r="N16" s="1"/>
    </row>
    <row r="17" spans="2:14" ht="32.1">
      <c r="B17" s="74" t="s">
        <v>592</v>
      </c>
      <c r="C17" s="73" t="s">
        <v>593</v>
      </c>
      <c r="D17" s="75" t="s">
        <v>594</v>
      </c>
      <c r="I17" s="117"/>
      <c r="J17" s="28" t="s">
        <v>595</v>
      </c>
      <c r="K17" s="28" t="s">
        <v>596</v>
      </c>
      <c r="L17" s="189" t="s">
        <v>597</v>
      </c>
      <c r="M17" s="28"/>
      <c r="N17" s="1"/>
    </row>
    <row r="18" spans="2:14" ht="33" thickBot="1">
      <c r="B18" s="76" t="s">
        <v>598</v>
      </c>
      <c r="C18" s="77" t="s">
        <v>599</v>
      </c>
      <c r="D18" s="78" t="s">
        <v>600</v>
      </c>
      <c r="I18" s="118"/>
      <c r="J18" s="37" t="s">
        <v>601</v>
      </c>
      <c r="K18" s="37" t="s">
        <v>602</v>
      </c>
      <c r="L18" s="191" t="s">
        <v>603</v>
      </c>
      <c r="M18" s="28"/>
      <c r="N18" s="1"/>
    </row>
    <row r="19" spans="2:14" ht="32.1">
      <c r="I19" s="116" t="s">
        <v>407</v>
      </c>
      <c r="J19" s="36" t="s">
        <v>604</v>
      </c>
      <c r="K19" s="36" t="s">
        <v>605</v>
      </c>
      <c r="L19" s="190" t="s">
        <v>606</v>
      </c>
      <c r="M19" s="28"/>
    </row>
    <row r="20" spans="2:14" ht="33" thickBot="1">
      <c r="I20" s="117"/>
      <c r="J20" s="28" t="s">
        <v>607</v>
      </c>
      <c r="K20" s="28" t="s">
        <v>608</v>
      </c>
      <c r="L20" s="189" t="s">
        <v>609</v>
      </c>
      <c r="M20" s="28"/>
    </row>
    <row r="21" spans="2:14" ht="32.1">
      <c r="F21" s="1"/>
      <c r="G21" s="102" t="s">
        <v>610</v>
      </c>
      <c r="H21" s="1"/>
      <c r="I21" s="117"/>
      <c r="J21" s="28" t="s">
        <v>611</v>
      </c>
      <c r="K21" s="28" t="s">
        <v>612</v>
      </c>
      <c r="L21" s="189" t="s">
        <v>613</v>
      </c>
      <c r="M21" s="28"/>
    </row>
    <row r="22" spans="2:14" ht="32.1">
      <c r="G22" s="80" t="s">
        <v>175</v>
      </c>
      <c r="I22" s="118"/>
      <c r="J22" s="37"/>
      <c r="K22" s="37" t="s">
        <v>614</v>
      </c>
      <c r="L22" s="191"/>
      <c r="M22" s="28"/>
    </row>
    <row r="23" spans="2:14" ht="32.1">
      <c r="G23" s="81" t="s">
        <v>160</v>
      </c>
      <c r="I23" s="108" t="s">
        <v>615</v>
      </c>
      <c r="J23" s="36" t="s">
        <v>616</v>
      </c>
      <c r="K23" s="36" t="s">
        <v>617</v>
      </c>
      <c r="L23" s="190"/>
      <c r="M23" s="28"/>
    </row>
    <row r="24" spans="2:14" ht="32.1">
      <c r="G24" s="81" t="s">
        <v>349</v>
      </c>
      <c r="I24" s="111"/>
      <c r="J24" s="28" t="s">
        <v>618</v>
      </c>
      <c r="K24" s="28" t="s">
        <v>619</v>
      </c>
      <c r="L24" s="189"/>
      <c r="M24" s="28"/>
    </row>
    <row r="25" spans="2:14" ht="32.1">
      <c r="G25" s="81" t="s">
        <v>337</v>
      </c>
      <c r="I25" s="111"/>
      <c r="J25" s="28" t="s">
        <v>620</v>
      </c>
      <c r="K25" s="28" t="s">
        <v>621</v>
      </c>
      <c r="L25" s="189"/>
      <c r="M25" s="28"/>
    </row>
    <row r="26" spans="2:14" ht="32.1">
      <c r="G26" s="81" t="s">
        <v>340</v>
      </c>
      <c r="I26" s="112"/>
      <c r="J26" s="37"/>
      <c r="K26" s="37" t="s">
        <v>622</v>
      </c>
      <c r="L26" s="191"/>
      <c r="M26" s="28"/>
    </row>
    <row r="27" spans="2:14" ht="32.1">
      <c r="G27" s="81" t="s">
        <v>623</v>
      </c>
      <c r="I27" s="108" t="s">
        <v>419</v>
      </c>
      <c r="J27" s="36" t="s">
        <v>624</v>
      </c>
      <c r="K27" s="36" t="s">
        <v>625</v>
      </c>
      <c r="L27" s="190"/>
      <c r="M27" s="28"/>
    </row>
    <row r="28" spans="2:14" ht="32.1">
      <c r="G28" s="81" t="s">
        <v>507</v>
      </c>
      <c r="I28" s="111"/>
      <c r="J28" s="28" t="s">
        <v>626</v>
      </c>
      <c r="K28" s="28" t="s">
        <v>627</v>
      </c>
      <c r="L28" s="189"/>
      <c r="M28" s="28"/>
    </row>
    <row r="29" spans="2:14" ht="32.1">
      <c r="G29" s="81" t="s">
        <v>628</v>
      </c>
      <c r="I29" s="111"/>
      <c r="J29" s="28" t="s">
        <v>629</v>
      </c>
      <c r="K29" s="28" t="s">
        <v>630</v>
      </c>
      <c r="L29" s="189"/>
      <c r="M29" s="28"/>
    </row>
    <row r="30" spans="2:14" ht="30.75">
      <c r="G30" s="81" t="s">
        <v>224</v>
      </c>
      <c r="I30" s="112"/>
      <c r="J30" s="37"/>
      <c r="K30" s="37" t="s">
        <v>631</v>
      </c>
      <c r="L30" s="191"/>
      <c r="M30" s="28"/>
    </row>
    <row r="31" spans="2:14" ht="30.75">
      <c r="G31" s="82" t="s">
        <v>325</v>
      </c>
      <c r="I31" s="108" t="s">
        <v>425</v>
      </c>
      <c r="J31" s="36" t="s">
        <v>632</v>
      </c>
      <c r="K31" s="36" t="s">
        <v>633</v>
      </c>
      <c r="L31" s="190"/>
      <c r="M31" s="28"/>
    </row>
    <row r="32" spans="2:14" ht="30.75">
      <c r="G32" s="82" t="s">
        <v>634</v>
      </c>
      <c r="I32" s="109"/>
      <c r="J32" s="28" t="s">
        <v>635</v>
      </c>
      <c r="K32" s="28" t="s">
        <v>636</v>
      </c>
      <c r="L32" s="189"/>
      <c r="M32" s="28"/>
    </row>
    <row r="33" spans="7:13" ht="30.75">
      <c r="G33" s="82" t="s">
        <v>637</v>
      </c>
      <c r="I33" s="109"/>
      <c r="J33" s="28" t="s">
        <v>638</v>
      </c>
      <c r="K33" s="28" t="s">
        <v>639</v>
      </c>
      <c r="L33" s="189"/>
      <c r="M33" s="28"/>
    </row>
    <row r="34" spans="7:13" ht="30.75">
      <c r="I34" s="110"/>
      <c r="J34" s="37" t="s">
        <v>640</v>
      </c>
      <c r="K34" s="37" t="s">
        <v>641</v>
      </c>
      <c r="L34" s="191"/>
      <c r="M34" s="28"/>
    </row>
    <row r="35" spans="7:13" ht="30.75">
      <c r="G35" s="102" t="s">
        <v>642</v>
      </c>
      <c r="I35" s="108" t="s">
        <v>433</v>
      </c>
      <c r="J35" s="36" t="s">
        <v>643</v>
      </c>
      <c r="K35" s="36" t="s">
        <v>644</v>
      </c>
      <c r="L35" s="190"/>
      <c r="M35" s="28"/>
    </row>
    <row r="36" spans="7:13" ht="30.75">
      <c r="G36" s="80" t="s">
        <v>645</v>
      </c>
      <c r="I36" s="109"/>
      <c r="J36" s="28" t="s">
        <v>646</v>
      </c>
      <c r="K36" s="28" t="s">
        <v>647</v>
      </c>
      <c r="L36" s="189"/>
      <c r="M36" s="28"/>
    </row>
    <row r="37" spans="7:13" ht="30.75">
      <c r="G37" s="82" t="s">
        <v>218</v>
      </c>
      <c r="I37" s="109"/>
      <c r="J37" s="28" t="s">
        <v>648</v>
      </c>
      <c r="K37" s="28" t="s">
        <v>649</v>
      </c>
      <c r="L37" s="189"/>
      <c r="M37" s="28"/>
    </row>
    <row r="38" spans="7:13" ht="30.75">
      <c r="I38" s="110"/>
      <c r="J38" s="37"/>
      <c r="K38" s="37" t="s">
        <v>650</v>
      </c>
      <c r="L38" s="191"/>
      <c r="M38" s="28"/>
    </row>
    <row r="39" spans="7:13" ht="30.75">
      <c r="I39" s="108" t="s">
        <v>440</v>
      </c>
      <c r="J39" s="36" t="s">
        <v>651</v>
      </c>
      <c r="K39" s="36" t="s">
        <v>652</v>
      </c>
      <c r="L39" s="190"/>
      <c r="M39" s="28"/>
    </row>
    <row r="40" spans="7:13" ht="30.75">
      <c r="G40" s="102" t="s">
        <v>653</v>
      </c>
      <c r="I40" s="109"/>
      <c r="J40" s="28" t="s">
        <v>654</v>
      </c>
      <c r="K40" s="28" t="s">
        <v>655</v>
      </c>
      <c r="L40" s="189"/>
      <c r="M40" s="28"/>
    </row>
    <row r="41" spans="7:13" ht="30.75">
      <c r="G41" s="80" t="s">
        <v>411</v>
      </c>
      <c r="I41" s="109"/>
      <c r="J41" s="28" t="s">
        <v>656</v>
      </c>
      <c r="K41" s="28" t="s">
        <v>657</v>
      </c>
      <c r="L41" s="189"/>
      <c r="M41" s="28"/>
    </row>
    <row r="42" spans="7:13" ht="30.75">
      <c r="G42" s="81" t="s">
        <v>658</v>
      </c>
      <c r="I42" s="110"/>
      <c r="J42" s="37"/>
      <c r="K42" s="37" t="s">
        <v>659</v>
      </c>
      <c r="L42" s="191"/>
      <c r="M42" s="28"/>
    </row>
    <row r="43" spans="7:13" ht="30.75">
      <c r="G43" s="81" t="s">
        <v>660</v>
      </c>
      <c r="I43" s="108" t="s">
        <v>445</v>
      </c>
      <c r="J43" s="36" t="s">
        <v>661</v>
      </c>
      <c r="K43" s="36" t="s">
        <v>662</v>
      </c>
      <c r="L43" s="190"/>
      <c r="M43" s="28"/>
    </row>
    <row r="44" spans="7:13" ht="30.75">
      <c r="G44" s="82" t="s">
        <v>663</v>
      </c>
      <c r="I44" s="109"/>
      <c r="J44" s="28" t="s">
        <v>664</v>
      </c>
      <c r="K44" s="28" t="s">
        <v>665</v>
      </c>
      <c r="L44" s="189"/>
      <c r="M44" s="28"/>
    </row>
    <row r="45" spans="7:13" ht="45.75">
      <c r="I45" s="109"/>
      <c r="J45" s="28" t="s">
        <v>666</v>
      </c>
      <c r="K45" s="28" t="s">
        <v>667</v>
      </c>
      <c r="L45" s="189"/>
      <c r="M45" s="28"/>
    </row>
    <row r="46" spans="7:13" ht="30.75">
      <c r="I46" s="110"/>
      <c r="J46" s="37"/>
      <c r="K46" s="37" t="s">
        <v>668</v>
      </c>
      <c r="L46" s="191"/>
      <c r="M46" s="28"/>
    </row>
    <row r="47" spans="7:13" ht="30.75">
      <c r="G47" s="102" t="s">
        <v>669</v>
      </c>
      <c r="I47" s="108" t="s">
        <v>450</v>
      </c>
      <c r="J47" s="36" t="s">
        <v>670</v>
      </c>
      <c r="K47" s="36" t="s">
        <v>671</v>
      </c>
      <c r="L47" s="190"/>
      <c r="M47" s="28"/>
    </row>
    <row r="48" spans="7:13" ht="30.75">
      <c r="G48" s="80" t="s">
        <v>672</v>
      </c>
      <c r="I48" s="109"/>
      <c r="J48" s="28" t="s">
        <v>673</v>
      </c>
      <c r="K48" s="28" t="s">
        <v>674</v>
      </c>
      <c r="L48" s="189"/>
      <c r="M48" s="28"/>
    </row>
    <row r="49" spans="7:13" ht="30.75">
      <c r="G49" s="82" t="s">
        <v>675</v>
      </c>
      <c r="I49" s="110"/>
      <c r="J49" s="37"/>
      <c r="K49" s="37" t="s">
        <v>676</v>
      </c>
      <c r="L49" s="191"/>
      <c r="M49" s="28"/>
    </row>
    <row r="50" spans="7:13" ht="30.75">
      <c r="I50" s="108" t="s">
        <v>456</v>
      </c>
      <c r="J50" s="36" t="s">
        <v>677</v>
      </c>
      <c r="K50" s="38" t="s">
        <v>678</v>
      </c>
      <c r="L50" s="190"/>
      <c r="M50" s="28"/>
    </row>
    <row r="51" spans="7:13" ht="30.75">
      <c r="I51" s="109"/>
      <c r="J51" s="34" t="s">
        <v>679</v>
      </c>
      <c r="K51" s="34" t="s">
        <v>680</v>
      </c>
      <c r="L51" s="189"/>
      <c r="M51" s="28"/>
    </row>
    <row r="52" spans="7:13" ht="30.75">
      <c r="G52" s="102" t="s">
        <v>681</v>
      </c>
      <c r="I52" s="109"/>
      <c r="J52" s="28" t="s">
        <v>682</v>
      </c>
      <c r="K52" s="34" t="s">
        <v>683</v>
      </c>
      <c r="L52" s="192"/>
      <c r="M52" s="34"/>
    </row>
    <row r="53" spans="7:13" ht="30.75">
      <c r="G53" s="80" t="s">
        <v>684</v>
      </c>
      <c r="I53" s="109"/>
      <c r="J53" s="34" t="s">
        <v>685</v>
      </c>
      <c r="K53" s="28" t="s">
        <v>686</v>
      </c>
      <c r="L53" s="192"/>
      <c r="M53" s="34"/>
    </row>
    <row r="54" spans="7:13" ht="30.75">
      <c r="G54" s="81" t="s">
        <v>687</v>
      </c>
      <c r="I54" s="108" t="s">
        <v>461</v>
      </c>
      <c r="J54" s="36" t="s">
        <v>688</v>
      </c>
      <c r="K54" s="38" t="s">
        <v>689</v>
      </c>
      <c r="L54" s="198"/>
      <c r="M54" s="34"/>
    </row>
    <row r="55" spans="7:13" ht="30.75">
      <c r="G55" s="81" t="s">
        <v>690</v>
      </c>
      <c r="I55" s="109"/>
      <c r="J55" s="28" t="s">
        <v>691</v>
      </c>
      <c r="K55" s="34" t="s">
        <v>692</v>
      </c>
      <c r="L55" s="189"/>
      <c r="M55" s="28"/>
    </row>
    <row r="56" spans="7:13" ht="30.75">
      <c r="G56" s="82" t="s">
        <v>693</v>
      </c>
      <c r="I56" s="109"/>
      <c r="J56" s="28" t="s">
        <v>694</v>
      </c>
      <c r="K56" s="28" t="s">
        <v>695</v>
      </c>
      <c r="L56" s="192"/>
      <c r="M56" s="34"/>
    </row>
    <row r="57" spans="7:13" ht="30.75">
      <c r="I57" s="110"/>
      <c r="J57" s="37"/>
      <c r="K57" s="37" t="s">
        <v>696</v>
      </c>
      <c r="L57" s="201"/>
      <c r="M57" s="34"/>
    </row>
    <row r="58" spans="7:13" ht="60.75">
      <c r="I58" s="202" t="s">
        <v>467</v>
      </c>
      <c r="J58" s="203" t="s">
        <v>697</v>
      </c>
      <c r="K58" s="203" t="s">
        <v>698</v>
      </c>
      <c r="L58" s="204" t="s">
        <v>699</v>
      </c>
      <c r="M58" s="28"/>
    </row>
    <row r="59" spans="7:13" ht="30.75">
      <c r="G59" s="102" t="s">
        <v>700</v>
      </c>
      <c r="I59" s="202" t="s">
        <v>471</v>
      </c>
      <c r="J59" s="203" t="s">
        <v>701</v>
      </c>
      <c r="K59" s="203" t="s">
        <v>702</v>
      </c>
      <c r="L59" s="204" t="s">
        <v>703</v>
      </c>
      <c r="M59" s="28"/>
    </row>
    <row r="60" spans="7:13" ht="30.75">
      <c r="G60" s="80" t="s">
        <v>704</v>
      </c>
      <c r="I60" s="202" t="s">
        <v>479</v>
      </c>
      <c r="J60" s="203" t="s">
        <v>705</v>
      </c>
      <c r="K60" s="203" t="s">
        <v>706</v>
      </c>
      <c r="L60" s="204" t="s">
        <v>707</v>
      </c>
      <c r="M60" s="28"/>
    </row>
    <row r="61" spans="7:13" ht="30.75">
      <c r="G61" s="81" t="s">
        <v>708</v>
      </c>
      <c r="I61" s="207" t="s">
        <v>484</v>
      </c>
      <c r="J61" s="208" t="s">
        <v>709</v>
      </c>
      <c r="K61" s="208" t="s">
        <v>710</v>
      </c>
      <c r="L61" s="209" t="s">
        <v>711</v>
      </c>
      <c r="M61" s="28"/>
    </row>
    <row r="62" spans="7:13" ht="30.75">
      <c r="G62" s="82" t="s">
        <v>712</v>
      </c>
      <c r="I62" t="s">
        <v>713</v>
      </c>
      <c r="J62" s="28" t="s">
        <v>714</v>
      </c>
      <c r="K62" s="28"/>
      <c r="L62" s="28"/>
      <c r="M62" s="28"/>
    </row>
    <row r="63" spans="7:13" ht="30.75">
      <c r="I63" t="s">
        <v>496</v>
      </c>
      <c r="J63" s="28" t="s">
        <v>715</v>
      </c>
      <c r="K63" s="28" t="s">
        <v>716</v>
      </c>
      <c r="L63" s="28"/>
      <c r="M63" s="28"/>
    </row>
    <row r="64" spans="7:13">
      <c r="I64" t="s">
        <v>496</v>
      </c>
      <c r="J64" s="28" t="s">
        <v>717</v>
      </c>
      <c r="K64" s="28" t="s">
        <v>718</v>
      </c>
      <c r="L64" s="28"/>
      <c r="M64" s="28"/>
    </row>
    <row r="65" spans="7:13">
      <c r="G65" s="102" t="s">
        <v>719</v>
      </c>
      <c r="J65" s="28"/>
      <c r="K65" s="28"/>
      <c r="L65" s="28"/>
      <c r="M65" s="28"/>
    </row>
    <row r="66" spans="7:13">
      <c r="G66" s="80" t="s">
        <v>720</v>
      </c>
      <c r="J66" s="28"/>
      <c r="K66" s="28"/>
      <c r="L66" s="28"/>
      <c r="M66" s="28"/>
    </row>
    <row r="67" spans="7:13">
      <c r="G67" s="81" t="s">
        <v>721</v>
      </c>
      <c r="J67" s="28"/>
      <c r="K67" s="28"/>
      <c r="L67" s="28"/>
      <c r="M67" s="28"/>
    </row>
    <row r="68" spans="7:13">
      <c r="G68" s="82" t="s">
        <v>722</v>
      </c>
      <c r="J68" s="28"/>
      <c r="K68" s="28"/>
      <c r="L68" s="28"/>
      <c r="M68" s="28"/>
    </row>
    <row r="69" spans="7:13">
      <c r="J69" s="28"/>
      <c r="K69" s="28"/>
      <c r="L69" s="28"/>
      <c r="M69" s="28"/>
    </row>
    <row r="70" spans="7:13">
      <c r="J70" s="28"/>
      <c r="K70" s="28"/>
      <c r="L70" s="28"/>
      <c r="M70" s="28"/>
    </row>
    <row r="71" spans="7:13">
      <c r="G71" s="102" t="s">
        <v>723</v>
      </c>
      <c r="J71" s="28"/>
      <c r="K71" s="28"/>
      <c r="L71" s="28"/>
      <c r="M71" s="28"/>
    </row>
    <row r="72" spans="7:13">
      <c r="G72" s="80" t="s">
        <v>724</v>
      </c>
      <c r="J72" s="28"/>
      <c r="K72" s="28"/>
      <c r="L72" s="28"/>
      <c r="M72" s="28"/>
    </row>
    <row r="73" spans="7:13">
      <c r="G73" s="81" t="s">
        <v>725</v>
      </c>
      <c r="J73" s="28"/>
      <c r="K73" s="28"/>
      <c r="L73" s="28"/>
      <c r="M73" s="28"/>
    </row>
    <row r="74" spans="7:13">
      <c r="G74" s="82" t="s">
        <v>726</v>
      </c>
      <c r="J74" s="28"/>
      <c r="K74" s="28"/>
      <c r="L74" s="28"/>
      <c r="M74" s="28"/>
    </row>
    <row r="75" spans="7:13">
      <c r="J75" s="28"/>
      <c r="K75" s="28"/>
      <c r="L75" s="28"/>
      <c r="M75" s="28"/>
    </row>
    <row r="76" spans="7:13">
      <c r="J76" s="28"/>
      <c r="K76" s="28"/>
      <c r="L76" s="28"/>
      <c r="M76" s="28"/>
    </row>
    <row r="77" spans="7:13">
      <c r="G77" s="102" t="s">
        <v>727</v>
      </c>
      <c r="J77" s="28"/>
      <c r="K77" s="28"/>
      <c r="L77" s="28"/>
      <c r="M77" s="28"/>
    </row>
    <row r="78" spans="7:13">
      <c r="G78" s="80" t="s">
        <v>728</v>
      </c>
      <c r="J78" s="28"/>
      <c r="K78" s="28"/>
      <c r="L78" s="28"/>
      <c r="M78" s="28"/>
    </row>
    <row r="79" spans="7:13">
      <c r="G79" s="82" t="s">
        <v>729</v>
      </c>
      <c r="J79" s="28"/>
      <c r="K79" s="28"/>
      <c r="L79" s="28"/>
      <c r="M79" s="28"/>
    </row>
    <row r="80" spans="7:13">
      <c r="J80" s="28"/>
      <c r="K80" s="28"/>
      <c r="L80" s="28"/>
      <c r="M80" s="28"/>
    </row>
    <row r="81" spans="1:13">
      <c r="J81" s="28"/>
      <c r="K81" s="28"/>
      <c r="L81" s="28"/>
      <c r="M81" s="28"/>
    </row>
    <row r="82" spans="1:13">
      <c r="G82" s="135" t="s">
        <v>730</v>
      </c>
      <c r="J82" s="28"/>
      <c r="K82" s="28"/>
      <c r="L82" s="28"/>
      <c r="M82" s="28"/>
    </row>
    <row r="83" spans="1:13">
      <c r="G83" s="136" t="s">
        <v>174</v>
      </c>
      <c r="J83" t="s">
        <v>731</v>
      </c>
      <c r="K83" s="28" t="s">
        <v>732</v>
      </c>
      <c r="L83" s="28"/>
      <c r="M83" s="28"/>
    </row>
    <row r="84" spans="1:13">
      <c r="G84" s="136" t="s">
        <v>169</v>
      </c>
      <c r="J84" t="s">
        <v>733</v>
      </c>
      <c r="K84" t="s">
        <v>734</v>
      </c>
      <c r="L84" s="28"/>
      <c r="M84" s="28"/>
    </row>
    <row r="85" spans="1:13">
      <c r="A85" s="1" t="s">
        <v>735</v>
      </c>
      <c r="G85" s="136" t="s">
        <v>736</v>
      </c>
      <c r="J85" t="s">
        <v>737</v>
      </c>
      <c r="K85" t="s">
        <v>738</v>
      </c>
      <c r="L85" s="28"/>
      <c r="M85" s="28"/>
    </row>
    <row r="86" spans="1:13">
      <c r="A86" s="1" t="s">
        <v>739</v>
      </c>
      <c r="B86" t="s">
        <v>0</v>
      </c>
      <c r="G86" s="136" t="s">
        <v>171</v>
      </c>
      <c r="J86" t="s">
        <v>740</v>
      </c>
      <c r="K86" t="s">
        <v>741</v>
      </c>
    </row>
    <row r="87" spans="1:13">
      <c r="A87" s="1" t="s">
        <v>7</v>
      </c>
      <c r="B87" t="s">
        <v>742</v>
      </c>
      <c r="G87" s="136" t="s">
        <v>743</v>
      </c>
      <c r="J87" t="s">
        <v>744</v>
      </c>
      <c r="K87" t="s">
        <v>745</v>
      </c>
    </row>
    <row r="88" spans="1:13">
      <c r="A88" s="1" t="s">
        <v>11</v>
      </c>
      <c r="B88" t="s">
        <v>746</v>
      </c>
      <c r="G88" s="80" t="s">
        <v>747</v>
      </c>
      <c r="J88" s="4" t="s">
        <v>748</v>
      </c>
      <c r="K88" t="s">
        <v>749</v>
      </c>
    </row>
    <row r="89" spans="1:13">
      <c r="A89" s="1" t="s">
        <v>15</v>
      </c>
      <c r="B89" t="s">
        <v>750</v>
      </c>
      <c r="G89" s="80" t="s">
        <v>751</v>
      </c>
      <c r="J89" t="s">
        <v>752</v>
      </c>
      <c r="K89" t="s">
        <v>753</v>
      </c>
    </row>
    <row r="90" spans="1:13">
      <c r="A90" s="1" t="s">
        <v>19</v>
      </c>
      <c r="B90" t="s">
        <v>754</v>
      </c>
      <c r="G90" s="80" t="s">
        <v>755</v>
      </c>
      <c r="J90" t="s">
        <v>756</v>
      </c>
      <c r="K90" t="s">
        <v>757</v>
      </c>
    </row>
    <row r="91" spans="1:13">
      <c r="A91" s="1" t="s">
        <v>758</v>
      </c>
      <c r="G91" s="137" t="s">
        <v>759</v>
      </c>
      <c r="J91" t="s">
        <v>760</v>
      </c>
      <c r="K91" t="s">
        <v>761</v>
      </c>
    </row>
    <row r="92" spans="1:13">
      <c r="A92" s="1" t="s">
        <v>762</v>
      </c>
      <c r="B92" t="s">
        <v>763</v>
      </c>
      <c r="J92" t="s">
        <v>744</v>
      </c>
      <c r="K92" t="s">
        <v>764</v>
      </c>
    </row>
    <row r="93" spans="1:13">
      <c r="A93" s="1" t="s">
        <v>26</v>
      </c>
      <c r="B93" t="s">
        <v>765</v>
      </c>
      <c r="J93" t="s">
        <v>766</v>
      </c>
      <c r="K93" s="4" t="s">
        <v>767</v>
      </c>
    </row>
    <row r="94" spans="1:13">
      <c r="B94" t="s">
        <v>768</v>
      </c>
      <c r="J94" t="s">
        <v>769</v>
      </c>
      <c r="K94" t="s">
        <v>770</v>
      </c>
    </row>
    <row r="95" spans="1:13">
      <c r="A95" s="1" t="s">
        <v>771</v>
      </c>
      <c r="B95" t="s">
        <v>772</v>
      </c>
      <c r="J95" t="s">
        <v>773</v>
      </c>
      <c r="K95" t="s">
        <v>774</v>
      </c>
      <c r="L95" s="4"/>
      <c r="M95" s="4"/>
    </row>
    <row r="96" spans="1:13">
      <c r="B96" t="s">
        <v>775</v>
      </c>
      <c r="J96" t="s">
        <v>776</v>
      </c>
      <c r="K96" t="s">
        <v>777</v>
      </c>
    </row>
    <row r="97" spans="10:11">
      <c r="J97" t="s">
        <v>778</v>
      </c>
      <c r="K97" t="s">
        <v>779</v>
      </c>
    </row>
    <row r="98" spans="10:11">
      <c r="J98" t="s">
        <v>780</v>
      </c>
      <c r="K98" t="s">
        <v>781</v>
      </c>
    </row>
    <row r="99" spans="10:11">
      <c r="J99" t="s">
        <v>782</v>
      </c>
      <c r="K99" t="s">
        <v>783</v>
      </c>
    </row>
    <row r="100" spans="10:11">
      <c r="J100" t="s">
        <v>784</v>
      </c>
      <c r="K100" t="s">
        <v>785</v>
      </c>
    </row>
    <row r="101" spans="10:11">
      <c r="J101" t="s">
        <v>786</v>
      </c>
      <c r="K101" t="s">
        <v>787</v>
      </c>
    </row>
    <row r="102" spans="10:11">
      <c r="J102" t="s">
        <v>788</v>
      </c>
      <c r="K102" t="s">
        <v>789</v>
      </c>
    </row>
    <row r="103" spans="10:11">
      <c r="J103" t="s">
        <v>790</v>
      </c>
      <c r="K103" t="s">
        <v>791</v>
      </c>
    </row>
    <row r="104" spans="10:11">
      <c r="K104" t="s">
        <v>792</v>
      </c>
    </row>
    <row r="105" spans="10:11">
      <c r="K105" t="s">
        <v>793</v>
      </c>
    </row>
    <row r="106" spans="10:11">
      <c r="K106" t="s">
        <v>794</v>
      </c>
    </row>
    <row r="107" spans="10:11">
      <c r="K107" t="s">
        <v>795</v>
      </c>
    </row>
    <row r="108" spans="10:11">
      <c r="K108" t="s">
        <v>796</v>
      </c>
    </row>
    <row r="109" spans="10:11">
      <c r="K109" t="s">
        <v>797</v>
      </c>
    </row>
    <row r="110" spans="10:11">
      <c r="K110" t="s">
        <v>798</v>
      </c>
    </row>
    <row r="111" spans="10:11">
      <c r="K111" t="s">
        <v>799</v>
      </c>
    </row>
    <row r="112" spans="10:11">
      <c r="K112" t="s">
        <v>800</v>
      </c>
    </row>
    <row r="113" spans="11:11">
      <c r="K113" t="s">
        <v>801</v>
      </c>
    </row>
    <row r="114" spans="11:11">
      <c r="K114" t="s">
        <v>802</v>
      </c>
    </row>
    <row r="115" spans="11:11">
      <c r="K115" t="s">
        <v>803</v>
      </c>
    </row>
    <row r="116" spans="11:11">
      <c r="K116" t="s">
        <v>804</v>
      </c>
    </row>
    <row r="117" spans="11:11">
      <c r="K117" t="s">
        <v>805</v>
      </c>
    </row>
    <row r="118" spans="11:11">
      <c r="K118" t="s">
        <v>806</v>
      </c>
    </row>
    <row r="119" spans="11:11">
      <c r="K119" t="s">
        <v>807</v>
      </c>
    </row>
    <row r="120" spans="11:11">
      <c r="K120" t="s">
        <v>808</v>
      </c>
    </row>
    <row r="121" spans="11:11">
      <c r="K121" t="s">
        <v>809</v>
      </c>
    </row>
    <row r="122" spans="11:11">
      <c r="K122" t="s">
        <v>810</v>
      </c>
    </row>
    <row r="123" spans="11:11">
      <c r="K123" t="s">
        <v>811</v>
      </c>
    </row>
    <row r="124" spans="11:11">
      <c r="K124" t="s">
        <v>812</v>
      </c>
    </row>
    <row r="125" spans="11:11">
      <c r="K125" t="s">
        <v>813</v>
      </c>
    </row>
    <row r="126" spans="11:11">
      <c r="K126" t="s">
        <v>814</v>
      </c>
    </row>
    <row r="127" spans="11:11">
      <c r="K127" t="s">
        <v>815</v>
      </c>
    </row>
  </sheetData>
  <mergeCells count="5">
    <mergeCell ref="I1:O1"/>
    <mergeCell ref="B3:D3"/>
    <mergeCell ref="B7:D7"/>
    <mergeCell ref="B11:D11"/>
    <mergeCell ref="B15:D15"/>
  </mergeCells>
  <pageMargins left="0.7" right="0.7" top="0.75" bottom="0.75" header="0.3" footer="0.3"/>
  <pageSetup paperSize="9" orientation="portrait" horizontalDpi="0" verticalDpi="0"/>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06B1C-50D9-4113-994E-F4F8D094492B}">
  <sheetPr codeName="Sheet31">
    <tabColor rgb="FF92D050"/>
  </sheetPr>
  <dimension ref="A1:N110"/>
  <sheetViews>
    <sheetView topLeftCell="A14" zoomScaleNormal="100" workbookViewId="0">
      <selection activeCell="C15" sqref="C15"/>
    </sheetView>
  </sheetViews>
  <sheetFormatPr defaultColWidth="11.42578125" defaultRowHeight="15"/>
  <cols>
    <col min="1" max="1" width="11.42578125" bestFit="1" customWidth="1"/>
    <col min="2" max="2" width="52.85546875" customWidth="1"/>
    <col min="3" max="3" width="57" customWidth="1"/>
    <col min="4" max="4" width="16.140625" hidden="1" customWidth="1"/>
    <col min="5" max="5" width="20.42578125" hidden="1" customWidth="1"/>
    <col min="6" max="6" width="47.85546875" customWidth="1"/>
    <col min="7" max="7" width="31.140625" customWidth="1"/>
    <col min="8" max="8" width="24.85546875" customWidth="1"/>
    <col min="9" max="9" width="20.85546875" customWidth="1"/>
    <col min="10" max="10" width="14.140625" customWidth="1"/>
    <col min="11" max="11" width="18.7109375" customWidth="1"/>
    <col min="12" max="12" width="16.28515625" customWidth="1"/>
  </cols>
  <sheetData>
    <row r="1" spans="1:12" ht="18" thickBot="1">
      <c r="B1" s="168" t="s">
        <v>153</v>
      </c>
      <c r="C1" s="154" t="s">
        <v>154</v>
      </c>
      <c r="D1" s="155" t="s">
        <v>155</v>
      </c>
      <c r="E1" s="155" t="s">
        <v>156</v>
      </c>
      <c r="F1" s="156" t="s">
        <v>157</v>
      </c>
    </row>
    <row r="2" spans="1:12" ht="17.100000000000001" thickBot="1">
      <c r="B2" s="163" t="s">
        <v>24</v>
      </c>
      <c r="C2" s="157" t="s">
        <v>816</v>
      </c>
      <c r="D2" s="157" t="s">
        <v>160</v>
      </c>
      <c r="E2" s="158" t="s">
        <v>161</v>
      </c>
      <c r="F2" s="164" t="s">
        <v>162</v>
      </c>
    </row>
    <row r="3" spans="1:12" ht="17.100000000000001" thickBot="1">
      <c r="B3" s="168" t="s">
        <v>163</v>
      </c>
      <c r="C3" s="155" t="s">
        <v>164</v>
      </c>
      <c r="D3" s="155" t="s">
        <v>165</v>
      </c>
      <c r="E3" s="155" t="s">
        <v>166</v>
      </c>
      <c r="F3" s="156" t="s">
        <v>167</v>
      </c>
    </row>
    <row r="4" spans="1:12" ht="15.95">
      <c r="B4" s="165" t="s">
        <v>168</v>
      </c>
      <c r="C4" s="153" t="s">
        <v>169</v>
      </c>
      <c r="D4" s="153" t="s">
        <v>160</v>
      </c>
      <c r="E4" s="183">
        <v>45752</v>
      </c>
      <c r="F4" s="167" t="s">
        <v>169</v>
      </c>
    </row>
    <row r="5" spans="1:12" ht="34.5" customHeight="1">
      <c r="B5" s="161" t="s">
        <v>170</v>
      </c>
      <c r="C5" s="152" t="s">
        <v>171</v>
      </c>
      <c r="D5" s="160" t="s">
        <v>172</v>
      </c>
      <c r="E5" s="184">
        <v>45754</v>
      </c>
      <c r="F5" s="162" t="s">
        <v>171</v>
      </c>
    </row>
    <row r="6" spans="1:12" ht="17.100000000000001" thickBot="1">
      <c r="B6" s="169" t="s">
        <v>173</v>
      </c>
      <c r="C6" s="170" t="s">
        <v>174</v>
      </c>
      <c r="D6" s="170" t="s">
        <v>175</v>
      </c>
      <c r="E6" s="185">
        <v>45758</v>
      </c>
      <c r="F6" s="172" t="s">
        <v>174</v>
      </c>
    </row>
    <row r="7" spans="1:12" ht="18.95">
      <c r="B7" s="340" t="s">
        <v>817</v>
      </c>
      <c r="C7" s="341"/>
      <c r="D7" s="341"/>
      <c r="E7" s="341"/>
      <c r="F7" s="342"/>
    </row>
    <row r="8" spans="1:12" ht="15.95">
      <c r="B8" s="161" t="s">
        <v>177</v>
      </c>
      <c r="C8" s="151" t="s">
        <v>166</v>
      </c>
      <c r="D8" s="151" t="s">
        <v>178</v>
      </c>
      <c r="E8" s="151" t="s">
        <v>179</v>
      </c>
      <c r="F8" s="162"/>
    </row>
    <row r="9" spans="1:12" ht="15.95">
      <c r="B9" s="173" t="s">
        <v>161</v>
      </c>
      <c r="C9" s="183">
        <v>45752</v>
      </c>
      <c r="D9" s="153" t="s">
        <v>169</v>
      </c>
      <c r="E9" s="153" t="s">
        <v>180</v>
      </c>
      <c r="F9" s="167"/>
    </row>
    <row r="10" spans="1:12" ht="15.95">
      <c r="B10" s="161"/>
      <c r="C10" s="151"/>
      <c r="D10" s="152"/>
      <c r="E10" s="152"/>
      <c r="F10" s="162"/>
    </row>
    <row r="11" spans="1:12" ht="27" thickBot="1">
      <c r="B11" s="174"/>
      <c r="C11" s="175"/>
      <c r="D11" s="176"/>
      <c r="E11" s="176"/>
      <c r="F11" s="177"/>
    </row>
    <row r="13" spans="1:12">
      <c r="A13" s="48" t="s">
        <v>818</v>
      </c>
      <c r="B13" s="49" t="s">
        <v>819</v>
      </c>
      <c r="C13" s="53"/>
      <c r="D13" s="43" t="s">
        <v>820</v>
      </c>
      <c r="E13" s="44" t="s">
        <v>821</v>
      </c>
      <c r="F13" s="45" t="s">
        <v>822</v>
      </c>
      <c r="G13" s="57" t="s">
        <v>823</v>
      </c>
      <c r="H13" s="347" t="s">
        <v>824</v>
      </c>
      <c r="I13" s="349"/>
      <c r="J13" s="349"/>
      <c r="K13" s="349"/>
      <c r="L13" s="349"/>
    </row>
    <row r="14" spans="1:12">
      <c r="A14" s="96">
        <v>5</v>
      </c>
      <c r="B14" s="50" t="s">
        <v>825</v>
      </c>
      <c r="C14" s="54" t="s">
        <v>826</v>
      </c>
      <c r="D14" s="46"/>
      <c r="E14" s="47"/>
      <c r="F14" s="59" t="s">
        <v>827</v>
      </c>
      <c r="G14" s="57"/>
      <c r="H14" s="57"/>
      <c r="I14" s="120"/>
      <c r="J14" s="120"/>
      <c r="K14" s="120"/>
      <c r="L14" s="120"/>
    </row>
    <row r="15" spans="1:12" ht="75" customHeight="1">
      <c r="A15" s="94">
        <v>5.0999999999999996</v>
      </c>
      <c r="B15" s="39" t="s">
        <v>828</v>
      </c>
      <c r="C15" s="55" t="s">
        <v>829</v>
      </c>
      <c r="D15" s="40" t="b">
        <v>1</v>
      </c>
      <c r="E15" s="58" t="s">
        <v>830</v>
      </c>
      <c r="F15" s="267" t="s">
        <v>831</v>
      </c>
      <c r="G15" s="60" t="s">
        <v>832</v>
      </c>
      <c r="H15" s="115" t="s">
        <v>833</v>
      </c>
      <c r="I15" s="126"/>
      <c r="J15" s="126"/>
      <c r="K15" s="126"/>
      <c r="L15" s="126"/>
    </row>
    <row r="16" spans="1:12" ht="30.75">
      <c r="A16" s="95">
        <v>5.2</v>
      </c>
      <c r="B16" s="41" t="s">
        <v>834</v>
      </c>
      <c r="C16" s="56" t="s">
        <v>835</v>
      </c>
      <c r="D16" s="42" t="b">
        <v>1</v>
      </c>
      <c r="E16" s="41" t="s">
        <v>830</v>
      </c>
      <c r="F16" s="268" t="s">
        <v>836</v>
      </c>
      <c r="G16" s="61" t="s">
        <v>837</v>
      </c>
      <c r="H16" s="181" t="s">
        <v>833</v>
      </c>
    </row>
    <row r="17" spans="1:12" ht="102" customHeight="1">
      <c r="A17" s="94">
        <v>5.3</v>
      </c>
      <c r="B17" s="39" t="s">
        <v>838</v>
      </c>
      <c r="C17" s="55" t="s">
        <v>839</v>
      </c>
      <c r="D17" s="238" t="b">
        <v>1</v>
      </c>
      <c r="E17" s="39" t="s">
        <v>830</v>
      </c>
      <c r="F17" s="91" t="s">
        <v>840</v>
      </c>
      <c r="G17" s="60" t="s">
        <v>832</v>
      </c>
      <c r="H17" s="205" t="s">
        <v>833</v>
      </c>
      <c r="I17" s="126"/>
      <c r="J17" s="126"/>
      <c r="K17" s="126"/>
      <c r="L17" s="126"/>
    </row>
    <row r="18" spans="1:12" ht="60.75">
      <c r="A18" s="95">
        <v>5.4</v>
      </c>
      <c r="B18" s="41" t="s">
        <v>841</v>
      </c>
      <c r="C18" s="56" t="s">
        <v>842</v>
      </c>
      <c r="D18" s="42" t="b">
        <v>1</v>
      </c>
      <c r="E18" s="41" t="s">
        <v>830</v>
      </c>
      <c r="F18" s="64" t="s">
        <v>843</v>
      </c>
      <c r="G18" s="266" t="s">
        <v>832</v>
      </c>
      <c r="H18" s="181" t="s">
        <v>833</v>
      </c>
    </row>
    <row r="19" spans="1:12" ht="102.75" customHeight="1">
      <c r="A19" s="94">
        <v>5.5</v>
      </c>
      <c r="B19" s="39" t="s">
        <v>844</v>
      </c>
      <c r="C19" s="55" t="s">
        <v>845</v>
      </c>
      <c r="D19" s="238" t="b">
        <v>1</v>
      </c>
      <c r="E19" s="39" t="s">
        <v>830</v>
      </c>
      <c r="F19" s="235" t="s">
        <v>846</v>
      </c>
      <c r="G19" s="233" t="s">
        <v>832</v>
      </c>
      <c r="H19" s="234" t="s">
        <v>847</v>
      </c>
      <c r="I19" s="125" t="s">
        <v>848</v>
      </c>
      <c r="J19" s="126"/>
      <c r="K19" s="126"/>
      <c r="L19" s="126"/>
    </row>
    <row r="20" spans="1:12" ht="108" customHeight="1">
      <c r="A20" s="95">
        <v>5.6</v>
      </c>
      <c r="B20" s="41" t="s">
        <v>849</v>
      </c>
      <c r="C20" s="56" t="s">
        <v>850</v>
      </c>
      <c r="D20" s="42" t="b">
        <v>1</v>
      </c>
      <c r="E20" s="41" t="s">
        <v>830</v>
      </c>
      <c r="F20" s="56" t="s">
        <v>851</v>
      </c>
      <c r="G20" s="143" t="s">
        <v>832</v>
      </c>
      <c r="H20" s="84" t="s">
        <v>833</v>
      </c>
      <c r="I20" s="85" t="s">
        <v>852</v>
      </c>
      <c r="J20" s="85" t="s">
        <v>853</v>
      </c>
      <c r="K20" s="28"/>
      <c r="L20" s="28"/>
    </row>
    <row r="21" spans="1:12" ht="125.25" customHeight="1">
      <c r="A21" s="94">
        <v>5.7</v>
      </c>
      <c r="B21" s="39" t="s">
        <v>854</v>
      </c>
      <c r="C21" s="55" t="s">
        <v>855</v>
      </c>
      <c r="D21" s="238" t="b">
        <v>1</v>
      </c>
      <c r="E21" s="227" t="s">
        <v>830</v>
      </c>
      <c r="F21" s="91" t="s">
        <v>856</v>
      </c>
      <c r="G21" s="206" t="s">
        <v>832</v>
      </c>
      <c r="H21" s="182" t="s">
        <v>857</v>
      </c>
      <c r="I21" s="228" t="s">
        <v>852</v>
      </c>
      <c r="J21" s="127" t="s">
        <v>858</v>
      </c>
      <c r="K21" s="126"/>
      <c r="L21" s="126"/>
    </row>
    <row r="22" spans="1:12" ht="123" customHeight="1">
      <c r="A22" s="95">
        <v>5.8</v>
      </c>
      <c r="B22" s="41" t="s">
        <v>859</v>
      </c>
      <c r="C22" s="56" t="s">
        <v>860</v>
      </c>
      <c r="D22" s="42" t="b">
        <v>1</v>
      </c>
      <c r="E22" s="41" t="s">
        <v>830</v>
      </c>
      <c r="F22" s="56" t="s">
        <v>861</v>
      </c>
      <c r="G22" s="229" t="s">
        <v>832</v>
      </c>
      <c r="H22" s="134" t="s">
        <v>857</v>
      </c>
      <c r="I22" s="230" t="s">
        <v>852</v>
      </c>
    </row>
    <row r="23" spans="1:12" ht="57.75" customHeight="1">
      <c r="A23" s="94">
        <v>5.9</v>
      </c>
      <c r="B23" s="39" t="s">
        <v>862</v>
      </c>
      <c r="C23" s="55" t="s">
        <v>863</v>
      </c>
      <c r="D23" s="238" t="b">
        <v>1</v>
      </c>
      <c r="E23" s="227" t="s">
        <v>830</v>
      </c>
      <c r="F23" s="91" t="s">
        <v>864</v>
      </c>
      <c r="G23" s="206" t="s">
        <v>837</v>
      </c>
      <c r="H23" s="180" t="s">
        <v>15</v>
      </c>
      <c r="I23" s="126"/>
      <c r="J23" s="126"/>
      <c r="K23" s="126"/>
      <c r="L23" s="126"/>
    </row>
    <row r="24" spans="1:12" ht="121.5">
      <c r="A24" s="95" t="s">
        <v>865</v>
      </c>
      <c r="B24" s="41" t="s">
        <v>866</v>
      </c>
      <c r="C24" s="56" t="s">
        <v>867</v>
      </c>
      <c r="D24" s="42" t="b">
        <v>1</v>
      </c>
      <c r="E24" s="41" t="s">
        <v>830</v>
      </c>
      <c r="F24" s="56" t="s">
        <v>868</v>
      </c>
      <c r="G24" s="269" t="s">
        <v>832</v>
      </c>
      <c r="H24" s="84" t="s">
        <v>833</v>
      </c>
      <c r="I24" s="85" t="s">
        <v>852</v>
      </c>
    </row>
    <row r="25" spans="1:12" ht="71.25" customHeight="1">
      <c r="A25" s="94">
        <v>5.1100000000000003</v>
      </c>
      <c r="B25" s="39" t="s">
        <v>869</v>
      </c>
      <c r="C25" s="55" t="s">
        <v>870</v>
      </c>
      <c r="D25" s="40" t="b">
        <v>1</v>
      </c>
      <c r="E25" s="39" t="s">
        <v>830</v>
      </c>
      <c r="F25" s="145" t="s">
        <v>871</v>
      </c>
      <c r="G25" s="146" t="s">
        <v>832</v>
      </c>
      <c r="H25" s="86" t="s">
        <v>872</v>
      </c>
      <c r="I25" s="127" t="s">
        <v>873</v>
      </c>
      <c r="J25" s="130"/>
      <c r="K25" s="130"/>
      <c r="L25" s="130"/>
    </row>
    <row r="26" spans="1:12" ht="45.75">
      <c r="A26" s="95">
        <v>5.12</v>
      </c>
      <c r="B26" s="41" t="s">
        <v>874</v>
      </c>
      <c r="C26" s="56" t="s">
        <v>875</v>
      </c>
      <c r="D26" s="42" t="b">
        <v>1</v>
      </c>
      <c r="E26" s="63" t="s">
        <v>830</v>
      </c>
      <c r="F26" s="56" t="s">
        <v>876</v>
      </c>
      <c r="G26" s="87" t="s">
        <v>837</v>
      </c>
      <c r="H26" s="119" t="s">
        <v>857</v>
      </c>
      <c r="I26" s="85" t="s">
        <v>877</v>
      </c>
    </row>
    <row r="27" spans="1:12" ht="102" customHeight="1">
      <c r="A27" s="94">
        <v>5.13</v>
      </c>
      <c r="B27" s="39" t="s">
        <v>878</v>
      </c>
      <c r="C27" s="55" t="s">
        <v>879</v>
      </c>
      <c r="D27" s="40" t="b">
        <v>1</v>
      </c>
      <c r="E27" s="58" t="s">
        <v>830</v>
      </c>
      <c r="F27" s="148" t="s">
        <v>880</v>
      </c>
      <c r="G27" s="147" t="s">
        <v>832</v>
      </c>
      <c r="H27" s="182" t="s">
        <v>857</v>
      </c>
      <c r="I27" s="144" t="s">
        <v>852</v>
      </c>
      <c r="J27" s="130"/>
      <c r="K27" s="130"/>
      <c r="L27" s="130"/>
    </row>
    <row r="28" spans="1:12" ht="151.5" customHeight="1">
      <c r="A28" s="95">
        <v>5.14</v>
      </c>
      <c r="B28" s="41" t="s">
        <v>881</v>
      </c>
      <c r="C28" s="56" t="s">
        <v>882</v>
      </c>
      <c r="D28" s="42" t="b">
        <v>1</v>
      </c>
      <c r="E28" s="63" t="s">
        <v>830</v>
      </c>
      <c r="F28" s="56" t="s">
        <v>883</v>
      </c>
      <c r="G28" s="229" t="s">
        <v>832</v>
      </c>
      <c r="H28" s="134" t="s">
        <v>857</v>
      </c>
      <c r="I28" s="211" t="s">
        <v>884</v>
      </c>
      <c r="J28" s="85" t="s">
        <v>885</v>
      </c>
      <c r="K28" s="85" t="s">
        <v>886</v>
      </c>
      <c r="L28" s="28"/>
    </row>
    <row r="29" spans="1:12" ht="45.75">
      <c r="A29" s="94">
        <v>5.15</v>
      </c>
      <c r="B29" s="39" t="s">
        <v>887</v>
      </c>
      <c r="C29" s="55" t="s">
        <v>888</v>
      </c>
      <c r="D29" s="40" t="b">
        <v>1</v>
      </c>
      <c r="E29" s="58" t="s">
        <v>830</v>
      </c>
      <c r="F29" s="262" t="s">
        <v>889</v>
      </c>
      <c r="G29" s="92" t="s">
        <v>837</v>
      </c>
      <c r="H29" s="93" t="s">
        <v>142</v>
      </c>
      <c r="I29" s="126"/>
      <c r="J29" s="132"/>
      <c r="K29" s="126"/>
      <c r="L29" s="126"/>
    </row>
    <row r="30" spans="1:12" ht="124.5" customHeight="1">
      <c r="A30" s="95">
        <v>5.16</v>
      </c>
      <c r="B30" s="41" t="s">
        <v>890</v>
      </c>
      <c r="C30" s="41" t="s">
        <v>891</v>
      </c>
      <c r="D30" s="42" t="b">
        <v>1</v>
      </c>
      <c r="E30" s="41" t="s">
        <v>830</v>
      </c>
      <c r="F30" s="231" t="s">
        <v>892</v>
      </c>
      <c r="G30" s="229" t="s">
        <v>832</v>
      </c>
      <c r="H30" s="134" t="s">
        <v>857</v>
      </c>
    </row>
    <row r="31" spans="1:12" ht="135.75" customHeight="1">
      <c r="A31" s="94">
        <v>5.17</v>
      </c>
      <c r="B31" s="39" t="s">
        <v>893</v>
      </c>
      <c r="C31" s="55" t="s">
        <v>894</v>
      </c>
      <c r="D31" s="238" t="b">
        <v>1</v>
      </c>
      <c r="E31" s="227" t="s">
        <v>830</v>
      </c>
      <c r="F31" s="91" t="s">
        <v>895</v>
      </c>
      <c r="G31" s="206" t="s">
        <v>832</v>
      </c>
      <c r="H31" s="228" t="s">
        <v>852</v>
      </c>
      <c r="I31" s="126"/>
      <c r="J31" s="126"/>
      <c r="K31" s="126"/>
      <c r="L31" s="126"/>
    </row>
    <row r="32" spans="1:12" ht="123" customHeight="1">
      <c r="A32" s="95">
        <v>5.18</v>
      </c>
      <c r="B32" s="41" t="s">
        <v>896</v>
      </c>
      <c r="C32" s="56" t="s">
        <v>897</v>
      </c>
      <c r="D32" s="42" t="b">
        <v>1</v>
      </c>
      <c r="E32" s="41" t="s">
        <v>830</v>
      </c>
      <c r="F32" s="64" t="s">
        <v>898</v>
      </c>
      <c r="G32" s="87" t="s">
        <v>832</v>
      </c>
      <c r="H32" s="88" t="s">
        <v>142</v>
      </c>
      <c r="I32" s="85" t="s">
        <v>852</v>
      </c>
    </row>
    <row r="33" spans="1:14" ht="121.5" customHeight="1">
      <c r="A33" s="94">
        <v>5.19</v>
      </c>
      <c r="B33" s="39" t="s">
        <v>899</v>
      </c>
      <c r="C33" s="55" t="s">
        <v>900</v>
      </c>
      <c r="D33" s="238" t="b">
        <v>1</v>
      </c>
      <c r="E33" s="227" t="s">
        <v>830</v>
      </c>
      <c r="F33" s="91" t="s">
        <v>901</v>
      </c>
      <c r="G33" s="186" t="s">
        <v>837</v>
      </c>
      <c r="H33" s="182" t="s">
        <v>902</v>
      </c>
      <c r="I33" s="125" t="s">
        <v>903</v>
      </c>
      <c r="J33" s="125" t="s">
        <v>904</v>
      </c>
      <c r="K33" s="263" t="s">
        <v>905</v>
      </c>
      <c r="L33" s="263" t="s">
        <v>906</v>
      </c>
    </row>
    <row r="34" spans="1:14" ht="108.75" customHeight="1">
      <c r="A34" s="95" t="s">
        <v>907</v>
      </c>
      <c r="B34" s="56" t="s">
        <v>908</v>
      </c>
      <c r="C34" s="56" t="s">
        <v>909</v>
      </c>
      <c r="D34" s="42" t="b">
        <v>1</v>
      </c>
      <c r="E34" s="41" t="s">
        <v>830</v>
      </c>
      <c r="F34" s="178" t="s">
        <v>910</v>
      </c>
      <c r="G34" s="123" t="s">
        <v>837</v>
      </c>
      <c r="H34" s="134" t="s">
        <v>902</v>
      </c>
      <c r="I34" s="133" t="s">
        <v>903</v>
      </c>
      <c r="J34" s="85" t="s">
        <v>911</v>
      </c>
      <c r="K34" s="85" t="s">
        <v>912</v>
      </c>
      <c r="L34" s="85" t="s">
        <v>913</v>
      </c>
      <c r="M34" s="133" t="s">
        <v>905</v>
      </c>
      <c r="N34" s="133" t="s">
        <v>906</v>
      </c>
    </row>
    <row r="35" spans="1:14" ht="153" customHeight="1">
      <c r="A35" s="94">
        <v>5.21</v>
      </c>
      <c r="B35" s="39" t="s">
        <v>914</v>
      </c>
      <c r="C35" s="55" t="s">
        <v>915</v>
      </c>
      <c r="D35" s="238" t="b">
        <v>1</v>
      </c>
      <c r="E35" s="227" t="s">
        <v>830</v>
      </c>
      <c r="F35" s="91" t="s">
        <v>916</v>
      </c>
      <c r="G35" s="186" t="s">
        <v>837</v>
      </c>
      <c r="H35" s="182" t="s">
        <v>904</v>
      </c>
      <c r="I35" s="182" t="s">
        <v>902</v>
      </c>
      <c r="J35" s="125" t="s">
        <v>903</v>
      </c>
      <c r="K35" s="182" t="s">
        <v>857</v>
      </c>
      <c r="L35" s="126"/>
    </row>
    <row r="36" spans="1:14" ht="130.5" customHeight="1">
      <c r="A36" s="95">
        <v>5.22</v>
      </c>
      <c r="B36" s="56" t="s">
        <v>917</v>
      </c>
      <c r="C36" s="56" t="s">
        <v>918</v>
      </c>
      <c r="D36" s="42" t="b">
        <v>1</v>
      </c>
      <c r="E36" s="41" t="s">
        <v>830</v>
      </c>
      <c r="F36" s="64" t="s">
        <v>919</v>
      </c>
      <c r="G36" s="229" t="s">
        <v>837</v>
      </c>
      <c r="H36" s="134" t="s">
        <v>902</v>
      </c>
      <c r="I36" s="133" t="s">
        <v>903</v>
      </c>
      <c r="J36" s="133" t="s">
        <v>920</v>
      </c>
      <c r="K36" s="85" t="s">
        <v>921</v>
      </c>
      <c r="L36" s="85" t="s">
        <v>922</v>
      </c>
    </row>
    <row r="37" spans="1:14" ht="169.5" customHeight="1">
      <c r="A37" s="94">
        <v>5.23</v>
      </c>
      <c r="B37" s="39" t="s">
        <v>923</v>
      </c>
      <c r="C37" s="55" t="s">
        <v>924</v>
      </c>
      <c r="D37" s="238" t="b">
        <v>1</v>
      </c>
      <c r="E37" s="227" t="s">
        <v>830</v>
      </c>
      <c r="F37" s="91" t="s">
        <v>925</v>
      </c>
      <c r="G37" s="206" t="s">
        <v>837</v>
      </c>
      <c r="H37" s="182" t="s">
        <v>857</v>
      </c>
      <c r="I37" s="182" t="s">
        <v>904</v>
      </c>
      <c r="J37" s="125"/>
      <c r="K37" s="126"/>
      <c r="L37" s="126"/>
    </row>
    <row r="38" spans="1:14" ht="121.5">
      <c r="A38" s="95">
        <v>5.24</v>
      </c>
      <c r="B38" s="56" t="s">
        <v>926</v>
      </c>
      <c r="C38" s="56" t="s">
        <v>927</v>
      </c>
      <c r="D38" s="42" t="b">
        <v>1</v>
      </c>
      <c r="E38" s="41" t="s">
        <v>830</v>
      </c>
      <c r="F38" s="64" t="s">
        <v>928</v>
      </c>
      <c r="G38" s="87" t="s">
        <v>832</v>
      </c>
      <c r="H38" s="119" t="s">
        <v>852</v>
      </c>
      <c r="I38" s="134" t="s">
        <v>833</v>
      </c>
      <c r="J38" s="134" t="s">
        <v>929</v>
      </c>
    </row>
    <row r="39" spans="1:14" ht="132" customHeight="1">
      <c r="A39" s="94">
        <v>5.25</v>
      </c>
      <c r="B39" s="39" t="s">
        <v>930</v>
      </c>
      <c r="C39" s="55" t="s">
        <v>931</v>
      </c>
      <c r="D39" s="40" t="b">
        <v>1</v>
      </c>
      <c r="E39" s="39" t="s">
        <v>830</v>
      </c>
      <c r="F39" s="62" t="s">
        <v>932</v>
      </c>
      <c r="G39" s="147" t="s">
        <v>832</v>
      </c>
      <c r="H39" s="124" t="s">
        <v>833</v>
      </c>
      <c r="I39" s="125" t="s">
        <v>933</v>
      </c>
      <c r="J39" s="126"/>
      <c r="K39" s="126"/>
      <c r="L39" s="126"/>
    </row>
    <row r="40" spans="1:14" ht="121.5">
      <c r="A40" s="95">
        <v>5.26</v>
      </c>
      <c r="B40" s="41" t="s">
        <v>934</v>
      </c>
      <c r="C40" s="56" t="s">
        <v>935</v>
      </c>
      <c r="D40" s="42" t="b">
        <v>1</v>
      </c>
      <c r="E40" s="41" t="s">
        <v>830</v>
      </c>
      <c r="F40" s="64" t="s">
        <v>936</v>
      </c>
      <c r="G40" s="264" t="s">
        <v>832</v>
      </c>
      <c r="H40" s="134" t="s">
        <v>833</v>
      </c>
      <c r="I40" s="85" t="s">
        <v>852</v>
      </c>
      <c r="J40" s="210" t="s">
        <v>30</v>
      </c>
    </row>
    <row r="41" spans="1:14" ht="106.5">
      <c r="A41" s="94">
        <v>5.27</v>
      </c>
      <c r="B41" s="39" t="s">
        <v>937</v>
      </c>
      <c r="C41" s="55" t="s">
        <v>938</v>
      </c>
      <c r="D41" s="40" t="b">
        <v>1</v>
      </c>
      <c r="E41" s="39" t="s">
        <v>830</v>
      </c>
      <c r="F41" s="62" t="s">
        <v>939</v>
      </c>
      <c r="G41" s="147" t="s">
        <v>832</v>
      </c>
      <c r="H41" s="124" t="s">
        <v>929</v>
      </c>
      <c r="I41" s="126"/>
      <c r="J41" s="126"/>
      <c r="K41" s="126"/>
      <c r="L41" s="126"/>
    </row>
    <row r="42" spans="1:14" ht="119.25" customHeight="1">
      <c r="A42" s="95">
        <v>5.28</v>
      </c>
      <c r="B42" s="41" t="s">
        <v>940</v>
      </c>
      <c r="C42" s="56" t="s">
        <v>941</v>
      </c>
      <c r="D42" s="42" t="b">
        <v>1</v>
      </c>
      <c r="E42" s="41" t="s">
        <v>830</v>
      </c>
      <c r="F42" s="64" t="s">
        <v>942</v>
      </c>
      <c r="G42" s="123" t="s">
        <v>832</v>
      </c>
      <c r="H42" s="210" t="s">
        <v>30</v>
      </c>
      <c r="I42" s="211" t="s">
        <v>32</v>
      </c>
      <c r="J42" s="211" t="s">
        <v>46</v>
      </c>
      <c r="K42" s="211" t="s">
        <v>26</v>
      </c>
      <c r="L42" s="119" t="s">
        <v>833</v>
      </c>
    </row>
    <row r="43" spans="1:14" ht="90" customHeight="1">
      <c r="A43" s="94">
        <v>5.29</v>
      </c>
      <c r="B43" s="39" t="s">
        <v>943</v>
      </c>
      <c r="C43" s="55" t="s">
        <v>944</v>
      </c>
      <c r="D43" s="238" t="b">
        <v>1</v>
      </c>
      <c r="E43" s="227" t="s">
        <v>830</v>
      </c>
      <c r="F43" s="91" t="s">
        <v>945</v>
      </c>
      <c r="G43" s="186" t="s">
        <v>832</v>
      </c>
      <c r="H43" s="193" t="s">
        <v>101</v>
      </c>
      <c r="I43" s="125" t="s">
        <v>946</v>
      </c>
      <c r="J43" s="125" t="s">
        <v>947</v>
      </c>
      <c r="K43" s="260" t="s">
        <v>247</v>
      </c>
      <c r="L43" s="126"/>
    </row>
    <row r="44" spans="1:14" ht="91.5">
      <c r="A44" s="95" t="s">
        <v>948</v>
      </c>
      <c r="B44" s="41" t="s">
        <v>949</v>
      </c>
      <c r="C44" s="56" t="s">
        <v>950</v>
      </c>
      <c r="D44" s="42" t="b">
        <v>1</v>
      </c>
      <c r="E44" s="41" t="s">
        <v>830</v>
      </c>
      <c r="F44" s="64" t="s">
        <v>951</v>
      </c>
      <c r="G44" s="265" t="s">
        <v>832</v>
      </c>
      <c r="H44" s="88" t="s">
        <v>101</v>
      </c>
      <c r="I44" s="85" t="s">
        <v>946</v>
      </c>
    </row>
    <row r="45" spans="1:14" ht="72.75" customHeight="1">
      <c r="A45" s="94">
        <v>5.31</v>
      </c>
      <c r="B45" s="55" t="s">
        <v>952</v>
      </c>
      <c r="C45" s="55" t="s">
        <v>953</v>
      </c>
      <c r="D45" s="40" t="b">
        <v>1</v>
      </c>
      <c r="E45" s="39" t="s">
        <v>830</v>
      </c>
      <c r="F45" s="62" t="s">
        <v>954</v>
      </c>
      <c r="G45" s="186" t="s">
        <v>832</v>
      </c>
      <c r="H45" s="124" t="s">
        <v>872</v>
      </c>
      <c r="I45" s="127" t="s">
        <v>847</v>
      </c>
      <c r="J45" s="126"/>
      <c r="K45" s="126"/>
      <c r="L45" s="126"/>
    </row>
    <row r="46" spans="1:14" ht="78.75" customHeight="1">
      <c r="A46" s="95">
        <v>5.32</v>
      </c>
      <c r="B46" s="41" t="s">
        <v>955</v>
      </c>
      <c r="C46" s="56" t="s">
        <v>956</v>
      </c>
      <c r="D46" s="42" t="b">
        <v>1</v>
      </c>
      <c r="E46" s="41" t="s">
        <v>830</v>
      </c>
      <c r="F46" s="64" t="s">
        <v>957</v>
      </c>
      <c r="G46" s="229" t="s">
        <v>832</v>
      </c>
      <c r="H46" s="210" t="s">
        <v>958</v>
      </c>
      <c r="I46" s="133" t="s">
        <v>852</v>
      </c>
    </row>
    <row r="47" spans="1:14" ht="45.75">
      <c r="A47" s="94">
        <v>5.33</v>
      </c>
      <c r="B47" s="39" t="s">
        <v>959</v>
      </c>
      <c r="C47" s="55" t="s">
        <v>960</v>
      </c>
      <c r="D47" s="40" t="b">
        <v>1</v>
      </c>
      <c r="E47" s="39" t="s">
        <v>830</v>
      </c>
      <c r="F47" s="62" t="s">
        <v>961</v>
      </c>
      <c r="G47" s="147" t="s">
        <v>832</v>
      </c>
      <c r="H47" s="129" t="s">
        <v>142</v>
      </c>
      <c r="I47" s="130" t="s">
        <v>962</v>
      </c>
      <c r="J47" s="126"/>
      <c r="K47" s="126"/>
      <c r="L47" s="126"/>
    </row>
    <row r="48" spans="1:14" ht="78" customHeight="1">
      <c r="A48" s="95">
        <v>5.34</v>
      </c>
      <c r="B48" s="41" t="s">
        <v>963</v>
      </c>
      <c r="C48" s="56" t="s">
        <v>964</v>
      </c>
      <c r="D48" s="42" t="b">
        <v>1</v>
      </c>
      <c r="E48" s="41" t="s">
        <v>830</v>
      </c>
      <c r="F48" s="64" t="s">
        <v>965</v>
      </c>
      <c r="G48" s="87" t="s">
        <v>837</v>
      </c>
      <c r="H48" s="119" t="s">
        <v>833</v>
      </c>
      <c r="I48" s="85" t="s">
        <v>852</v>
      </c>
    </row>
    <row r="49" spans="1:12" ht="60.75">
      <c r="A49" s="94">
        <v>5.35</v>
      </c>
      <c r="B49" s="39" t="s">
        <v>966</v>
      </c>
      <c r="C49" s="55" t="s">
        <v>967</v>
      </c>
      <c r="D49" s="40" t="b">
        <v>1</v>
      </c>
      <c r="E49" s="39" t="s">
        <v>830</v>
      </c>
      <c r="F49" s="62" t="s">
        <v>968</v>
      </c>
      <c r="G49" s="147" t="s">
        <v>832</v>
      </c>
      <c r="H49" s="182" t="s">
        <v>833</v>
      </c>
      <c r="I49" s="127" t="s">
        <v>852</v>
      </c>
      <c r="J49" s="126"/>
      <c r="K49" s="126"/>
      <c r="L49" s="126"/>
    </row>
    <row r="50" spans="1:12" ht="137.25">
      <c r="A50" s="95">
        <v>5.36</v>
      </c>
      <c r="B50" s="56" t="s">
        <v>969</v>
      </c>
      <c r="C50" s="56" t="s">
        <v>970</v>
      </c>
      <c r="D50" s="42" t="b">
        <v>1</v>
      </c>
      <c r="E50" s="41" t="s">
        <v>830</v>
      </c>
      <c r="F50" s="64" t="s">
        <v>971</v>
      </c>
      <c r="G50" s="87" t="s">
        <v>832</v>
      </c>
      <c r="H50" s="119" t="s">
        <v>833</v>
      </c>
      <c r="I50" s="85" t="s">
        <v>972</v>
      </c>
      <c r="J50" s="85" t="s">
        <v>973</v>
      </c>
      <c r="K50" s="85" t="s">
        <v>974</v>
      </c>
      <c r="L50" s="85" t="s">
        <v>62</v>
      </c>
    </row>
    <row r="51" spans="1:12" ht="102" customHeight="1">
      <c r="A51" s="94">
        <v>5.37</v>
      </c>
      <c r="B51" s="39" t="s">
        <v>975</v>
      </c>
      <c r="C51" s="55" t="s">
        <v>976</v>
      </c>
      <c r="D51" s="40" t="b">
        <v>1</v>
      </c>
      <c r="E51" s="39" t="s">
        <v>830</v>
      </c>
      <c r="F51" s="62" t="s">
        <v>977</v>
      </c>
      <c r="G51" s="121" t="s">
        <v>832</v>
      </c>
      <c r="H51" s="124" t="s">
        <v>852</v>
      </c>
      <c r="I51" s="127"/>
      <c r="J51" s="130"/>
      <c r="K51" s="130"/>
      <c r="L51" s="130"/>
    </row>
    <row r="52" spans="1:12">
      <c r="A52" s="97">
        <v>6</v>
      </c>
      <c r="B52" s="51" t="s">
        <v>978</v>
      </c>
      <c r="C52" s="51"/>
      <c r="D52" s="52"/>
      <c r="E52" s="52"/>
      <c r="F52" s="90"/>
      <c r="G52" s="98"/>
      <c r="H52" s="98"/>
      <c r="I52" s="120"/>
      <c r="J52" s="120"/>
      <c r="K52" s="120"/>
      <c r="L52" s="120"/>
    </row>
    <row r="53" spans="1:12" ht="96.75" customHeight="1">
      <c r="A53" s="95">
        <v>6.1</v>
      </c>
      <c r="B53" s="41" t="s">
        <v>979</v>
      </c>
      <c r="C53" s="56" t="s">
        <v>980</v>
      </c>
      <c r="D53" s="42" t="b">
        <v>1</v>
      </c>
      <c r="E53" s="41" t="s">
        <v>830</v>
      </c>
      <c r="F53" s="64" t="s">
        <v>981</v>
      </c>
      <c r="G53" s="123" t="s">
        <v>832</v>
      </c>
      <c r="H53" s="210" t="s">
        <v>982</v>
      </c>
    </row>
    <row r="54" spans="1:12" ht="108" customHeight="1">
      <c r="A54" s="94">
        <v>6.2</v>
      </c>
      <c r="B54" s="39" t="s">
        <v>983</v>
      </c>
      <c r="C54" s="55" t="s">
        <v>984</v>
      </c>
      <c r="D54" s="40" t="b">
        <v>1</v>
      </c>
      <c r="E54" s="39" t="s">
        <v>830</v>
      </c>
      <c r="F54" s="179" t="s">
        <v>985</v>
      </c>
      <c r="G54" s="89" t="s">
        <v>832</v>
      </c>
      <c r="H54" s="129" t="s">
        <v>884</v>
      </c>
      <c r="I54" s="127" t="s">
        <v>986</v>
      </c>
      <c r="J54" s="127" t="s">
        <v>833</v>
      </c>
      <c r="K54" s="127" t="s">
        <v>852</v>
      </c>
      <c r="L54" s="127" t="s">
        <v>987</v>
      </c>
    </row>
    <row r="55" spans="1:12" ht="76.5">
      <c r="A55" s="95">
        <v>6.3</v>
      </c>
      <c r="B55" s="41" t="s">
        <v>988</v>
      </c>
      <c r="C55" s="56" t="s">
        <v>989</v>
      </c>
      <c r="D55" s="42" t="b">
        <v>1</v>
      </c>
      <c r="E55" s="41" t="s">
        <v>830</v>
      </c>
      <c r="F55" s="64" t="s">
        <v>990</v>
      </c>
      <c r="G55" s="87" t="s">
        <v>832</v>
      </c>
      <c r="H55" s="119" t="s">
        <v>991</v>
      </c>
      <c r="I55" s="85" t="s">
        <v>973</v>
      </c>
    </row>
    <row r="56" spans="1:12" ht="63.75" customHeight="1">
      <c r="A56" s="94">
        <v>6.4</v>
      </c>
      <c r="B56" s="39" t="s">
        <v>992</v>
      </c>
      <c r="C56" s="55" t="s">
        <v>993</v>
      </c>
      <c r="D56" s="40" t="b">
        <v>1</v>
      </c>
      <c r="E56" s="227" t="s">
        <v>830</v>
      </c>
      <c r="F56" s="91" t="s">
        <v>994</v>
      </c>
      <c r="G56" s="206" t="s">
        <v>832</v>
      </c>
      <c r="H56" s="193" t="s">
        <v>982</v>
      </c>
      <c r="I56" s="125" t="s">
        <v>995</v>
      </c>
      <c r="J56" s="130"/>
      <c r="K56" s="130"/>
      <c r="L56" s="126"/>
    </row>
    <row r="57" spans="1:12" ht="104.25" customHeight="1">
      <c r="A57" s="95">
        <v>6.5</v>
      </c>
      <c r="B57" s="56" t="s">
        <v>996</v>
      </c>
      <c r="C57" s="56" t="s">
        <v>997</v>
      </c>
      <c r="D57" s="42" t="b">
        <v>1</v>
      </c>
      <c r="E57" s="41" t="s">
        <v>830</v>
      </c>
      <c r="F57" s="178" t="s">
        <v>998</v>
      </c>
      <c r="G57" s="87" t="s">
        <v>832</v>
      </c>
      <c r="H57" s="88" t="s">
        <v>999</v>
      </c>
    </row>
    <row r="58" spans="1:12" ht="60.75">
      <c r="A58" s="94">
        <v>6.6</v>
      </c>
      <c r="B58" s="39" t="s">
        <v>1000</v>
      </c>
      <c r="C58" s="55" t="s">
        <v>1001</v>
      </c>
      <c r="D58" s="40" t="b">
        <v>1</v>
      </c>
      <c r="E58" s="39" t="s">
        <v>830</v>
      </c>
      <c r="F58" s="179" t="s">
        <v>1002</v>
      </c>
      <c r="G58" s="89" t="s">
        <v>832</v>
      </c>
      <c r="H58" s="129" t="s">
        <v>884</v>
      </c>
      <c r="I58" s="126"/>
      <c r="J58" s="126"/>
      <c r="K58" s="126"/>
      <c r="L58" s="126"/>
    </row>
    <row r="59" spans="1:12" ht="91.5">
      <c r="A59" s="95">
        <v>6.7</v>
      </c>
      <c r="B59" s="41" t="s">
        <v>1003</v>
      </c>
      <c r="C59" s="56" t="s">
        <v>1004</v>
      </c>
      <c r="D59" s="42" t="b">
        <v>1</v>
      </c>
      <c r="E59" s="41" t="s">
        <v>830</v>
      </c>
      <c r="F59" s="64" t="s">
        <v>1005</v>
      </c>
      <c r="G59" s="87" t="s">
        <v>832</v>
      </c>
      <c r="H59" s="119" t="s">
        <v>122</v>
      </c>
      <c r="I59" s="85" t="s">
        <v>833</v>
      </c>
      <c r="J59" s="85" t="s">
        <v>1006</v>
      </c>
      <c r="K59" s="28"/>
    </row>
    <row r="60" spans="1:12" ht="76.5">
      <c r="A60" s="94">
        <v>6.8</v>
      </c>
      <c r="B60" s="39" t="s">
        <v>1007</v>
      </c>
      <c r="C60" s="55" t="s">
        <v>1008</v>
      </c>
      <c r="D60" s="40" t="b">
        <v>1</v>
      </c>
      <c r="E60" s="227" t="s">
        <v>830</v>
      </c>
      <c r="F60" s="91" t="s">
        <v>1009</v>
      </c>
      <c r="G60" s="206" t="s">
        <v>832</v>
      </c>
      <c r="H60" s="125" t="s">
        <v>833</v>
      </c>
      <c r="I60" s="126"/>
      <c r="J60" s="126"/>
      <c r="K60" s="126"/>
      <c r="L60" s="126"/>
    </row>
    <row r="61" spans="1:12">
      <c r="A61" s="97">
        <v>7</v>
      </c>
      <c r="B61" s="51" t="s">
        <v>1010</v>
      </c>
      <c r="C61" s="51"/>
      <c r="D61" s="52"/>
      <c r="E61" s="52"/>
      <c r="F61" s="90"/>
      <c r="G61" s="98"/>
      <c r="H61" s="98"/>
      <c r="I61" s="120"/>
      <c r="J61" s="120"/>
      <c r="K61" s="120"/>
      <c r="L61" s="120"/>
    </row>
    <row r="62" spans="1:12" ht="32.1">
      <c r="A62" s="95">
        <v>7.1</v>
      </c>
      <c r="B62" s="41" t="s">
        <v>1011</v>
      </c>
      <c r="C62" s="56" t="s">
        <v>1012</v>
      </c>
      <c r="D62" s="42" t="b">
        <v>0</v>
      </c>
      <c r="E62" s="41" t="s">
        <v>151</v>
      </c>
      <c r="F62" s="64" t="s">
        <v>1013</v>
      </c>
      <c r="G62" s="87"/>
      <c r="H62" s="87"/>
    </row>
    <row r="63" spans="1:12" ht="32.1">
      <c r="A63" s="94">
        <v>7.2</v>
      </c>
      <c r="B63" s="39" t="s">
        <v>1014</v>
      </c>
      <c r="C63" s="55" t="s">
        <v>1015</v>
      </c>
      <c r="D63" s="40" t="b">
        <v>0</v>
      </c>
      <c r="E63" s="39" t="s">
        <v>151</v>
      </c>
      <c r="F63" s="62" t="s">
        <v>1013</v>
      </c>
      <c r="G63" s="89"/>
      <c r="H63" s="89"/>
      <c r="I63" s="126"/>
      <c r="J63" s="126"/>
      <c r="K63" s="126"/>
      <c r="L63" s="126"/>
    </row>
    <row r="64" spans="1:12" ht="32.1">
      <c r="A64" s="95">
        <v>7.3</v>
      </c>
      <c r="B64" s="41" t="s">
        <v>1016</v>
      </c>
      <c r="C64" s="56" t="s">
        <v>1017</v>
      </c>
      <c r="D64" s="42" t="b">
        <v>0</v>
      </c>
      <c r="E64" s="41" t="s">
        <v>151</v>
      </c>
      <c r="F64" s="64" t="s">
        <v>1013</v>
      </c>
      <c r="G64" s="87"/>
      <c r="H64" s="87"/>
    </row>
    <row r="65" spans="1:12" ht="32.1">
      <c r="A65" s="94">
        <v>7.4</v>
      </c>
      <c r="B65" s="39" t="s">
        <v>1018</v>
      </c>
      <c r="C65" s="55" t="s">
        <v>1019</v>
      </c>
      <c r="D65" s="40" t="b">
        <v>0</v>
      </c>
      <c r="E65" s="39" t="s">
        <v>151</v>
      </c>
      <c r="F65" s="62" t="s">
        <v>1013</v>
      </c>
      <c r="G65" s="89"/>
      <c r="H65" s="89"/>
      <c r="I65" s="126"/>
      <c r="J65" s="126"/>
      <c r="K65" s="126"/>
      <c r="L65" s="126"/>
    </row>
    <row r="66" spans="1:12" ht="48">
      <c r="A66" s="95">
        <v>7.5</v>
      </c>
      <c r="B66" s="41" t="s">
        <v>1020</v>
      </c>
      <c r="C66" s="56" t="s">
        <v>1021</v>
      </c>
      <c r="D66" s="42" t="b">
        <v>0</v>
      </c>
      <c r="E66" s="41" t="s">
        <v>151</v>
      </c>
      <c r="F66" s="64" t="s">
        <v>1013</v>
      </c>
      <c r="G66" s="87"/>
      <c r="H66" s="87"/>
    </row>
    <row r="67" spans="1:12" ht="32.1">
      <c r="A67" s="94">
        <v>7.6</v>
      </c>
      <c r="B67" s="39" t="s">
        <v>1022</v>
      </c>
      <c r="C67" s="55" t="s">
        <v>1023</v>
      </c>
      <c r="D67" s="40" t="b">
        <v>0</v>
      </c>
      <c r="E67" s="39" t="s">
        <v>151</v>
      </c>
      <c r="F67" s="62" t="s">
        <v>1013</v>
      </c>
      <c r="G67" s="89"/>
      <c r="H67" s="89"/>
      <c r="I67" s="126"/>
      <c r="J67" s="126"/>
      <c r="K67" s="126"/>
      <c r="L67" s="126"/>
    </row>
    <row r="68" spans="1:12" ht="60.75">
      <c r="A68" s="95">
        <v>7.7</v>
      </c>
      <c r="B68" s="41" t="s">
        <v>1024</v>
      </c>
      <c r="C68" s="56" t="s">
        <v>1025</v>
      </c>
      <c r="D68" s="42" t="b">
        <v>1</v>
      </c>
      <c r="E68" s="41" t="s">
        <v>830</v>
      </c>
      <c r="F68" s="64" t="s">
        <v>1026</v>
      </c>
      <c r="G68" s="123" t="s">
        <v>832</v>
      </c>
      <c r="H68" s="134" t="s">
        <v>122</v>
      </c>
    </row>
    <row r="69" spans="1:12" ht="15.95">
      <c r="A69" s="94">
        <v>7.8</v>
      </c>
      <c r="B69" s="39" t="s">
        <v>1027</v>
      </c>
      <c r="C69" s="39" t="s">
        <v>1028</v>
      </c>
      <c r="D69" s="40" t="b">
        <v>0</v>
      </c>
      <c r="E69" s="39" t="s">
        <v>151</v>
      </c>
      <c r="F69" s="62" t="s">
        <v>1013</v>
      </c>
      <c r="G69" s="89"/>
      <c r="H69" s="89"/>
      <c r="I69" s="126"/>
      <c r="J69" s="126"/>
      <c r="K69" s="126"/>
      <c r="L69" s="126"/>
    </row>
    <row r="70" spans="1:12" ht="76.5">
      <c r="A70" s="95">
        <v>7.9</v>
      </c>
      <c r="B70" s="41" t="s">
        <v>1029</v>
      </c>
      <c r="C70" s="41" t="s">
        <v>1030</v>
      </c>
      <c r="D70" s="42" t="b">
        <v>1</v>
      </c>
      <c r="E70" s="41" t="s">
        <v>830</v>
      </c>
      <c r="F70" s="64" t="s">
        <v>1031</v>
      </c>
      <c r="G70" s="123" t="s">
        <v>832</v>
      </c>
      <c r="H70" s="134" t="s">
        <v>122</v>
      </c>
    </row>
    <row r="71" spans="1:12" ht="61.5" customHeight="1">
      <c r="A71" s="94" t="s">
        <v>1032</v>
      </c>
      <c r="B71" s="39" t="s">
        <v>1033</v>
      </c>
      <c r="C71" s="55" t="s">
        <v>1034</v>
      </c>
      <c r="D71" s="40" t="b">
        <v>1</v>
      </c>
      <c r="E71" s="39" t="s">
        <v>830</v>
      </c>
      <c r="F71" s="62" t="s">
        <v>1035</v>
      </c>
      <c r="G71" s="89" t="s">
        <v>832</v>
      </c>
      <c r="H71" s="124" t="s">
        <v>833</v>
      </c>
      <c r="I71" s="127" t="s">
        <v>122</v>
      </c>
      <c r="J71" s="126"/>
      <c r="K71" s="126"/>
      <c r="L71" s="126"/>
    </row>
    <row r="72" spans="1:12" ht="54.75" customHeight="1">
      <c r="A72" s="95">
        <v>7.11</v>
      </c>
      <c r="B72" s="41" t="s">
        <v>1036</v>
      </c>
      <c r="C72" s="56" t="s">
        <v>1037</v>
      </c>
      <c r="D72" s="42" t="b">
        <v>0</v>
      </c>
      <c r="E72" s="41" t="s">
        <v>151</v>
      </c>
      <c r="F72" s="64" t="s">
        <v>1013</v>
      </c>
      <c r="G72" s="87"/>
      <c r="H72" s="87"/>
    </row>
    <row r="73" spans="1:12" ht="32.1">
      <c r="A73" s="94">
        <v>7.12</v>
      </c>
      <c r="B73" s="39" t="s">
        <v>1038</v>
      </c>
      <c r="C73" s="55" t="s">
        <v>1039</v>
      </c>
      <c r="D73" s="40" t="b">
        <v>0</v>
      </c>
      <c r="E73" s="39" t="s">
        <v>151</v>
      </c>
      <c r="F73" s="91" t="s">
        <v>1013</v>
      </c>
      <c r="G73" s="89"/>
      <c r="H73" s="89"/>
      <c r="I73" s="126"/>
      <c r="J73" s="126"/>
      <c r="K73" s="126"/>
      <c r="L73" s="126"/>
    </row>
    <row r="74" spans="1:12" ht="123.75" customHeight="1">
      <c r="A74" s="95">
        <v>7.13</v>
      </c>
      <c r="B74" s="41" t="s">
        <v>1040</v>
      </c>
      <c r="C74" s="56" t="s">
        <v>1041</v>
      </c>
      <c r="D74" s="42" t="b">
        <v>1</v>
      </c>
      <c r="E74" s="41" t="s">
        <v>830</v>
      </c>
      <c r="F74" s="64" t="s">
        <v>1042</v>
      </c>
      <c r="G74" s="123" t="s">
        <v>832</v>
      </c>
      <c r="H74" s="134" t="s">
        <v>122</v>
      </c>
    </row>
    <row r="75" spans="1:12" ht="152.25">
      <c r="A75" s="94">
        <v>7.14</v>
      </c>
      <c r="B75" s="39" t="s">
        <v>1043</v>
      </c>
      <c r="C75" s="55" t="s">
        <v>1044</v>
      </c>
      <c r="D75" s="40" t="b">
        <v>1</v>
      </c>
      <c r="E75" s="227" t="s">
        <v>830</v>
      </c>
      <c r="F75" s="91" t="s">
        <v>1045</v>
      </c>
      <c r="G75" s="186" t="s">
        <v>832</v>
      </c>
      <c r="H75" s="182" t="s">
        <v>122</v>
      </c>
      <c r="I75" s="126"/>
      <c r="J75" s="126"/>
      <c r="K75" s="126"/>
      <c r="L75" s="126"/>
    </row>
    <row r="76" spans="1:12">
      <c r="A76" s="97">
        <v>8</v>
      </c>
      <c r="B76" s="51" t="s">
        <v>1046</v>
      </c>
      <c r="C76" s="51"/>
      <c r="D76" s="52"/>
      <c r="E76" s="52"/>
      <c r="F76" s="90"/>
      <c r="G76" s="98"/>
      <c r="H76" s="98"/>
      <c r="I76" s="120"/>
      <c r="J76" s="120"/>
      <c r="K76" s="120"/>
      <c r="L76" s="120"/>
    </row>
    <row r="77" spans="1:12" ht="132" customHeight="1">
      <c r="A77" s="95">
        <v>8.1</v>
      </c>
      <c r="B77" s="41" t="s">
        <v>1047</v>
      </c>
      <c r="C77" s="56" t="s">
        <v>1048</v>
      </c>
      <c r="D77" s="42" t="b">
        <v>1</v>
      </c>
      <c r="E77" s="41" t="s">
        <v>830</v>
      </c>
      <c r="F77" s="64" t="s">
        <v>1049</v>
      </c>
      <c r="G77" s="87" t="s">
        <v>832</v>
      </c>
      <c r="H77" s="119" t="s">
        <v>833</v>
      </c>
      <c r="I77" s="85" t="s">
        <v>852</v>
      </c>
      <c r="J77" s="85" t="s">
        <v>122</v>
      </c>
    </row>
    <row r="78" spans="1:12" ht="91.5">
      <c r="A78" s="94">
        <v>8.1999999999999993</v>
      </c>
      <c r="B78" s="39" t="s">
        <v>1050</v>
      </c>
      <c r="C78" s="55" t="s">
        <v>1051</v>
      </c>
      <c r="D78" s="40" t="b">
        <v>1</v>
      </c>
      <c r="E78" s="39" t="s">
        <v>830</v>
      </c>
      <c r="F78" s="62" t="s">
        <v>1052</v>
      </c>
      <c r="G78" s="89" t="s">
        <v>832</v>
      </c>
      <c r="H78" s="124" t="s">
        <v>142</v>
      </c>
      <c r="I78" s="127" t="s">
        <v>143</v>
      </c>
      <c r="J78" s="127" t="s">
        <v>1053</v>
      </c>
      <c r="K78" s="126"/>
      <c r="L78" s="126"/>
    </row>
    <row r="79" spans="1:12" ht="90.75" customHeight="1">
      <c r="A79" s="95">
        <v>8.3000000000000007</v>
      </c>
      <c r="B79" s="41" t="s">
        <v>1054</v>
      </c>
      <c r="C79" s="56" t="s">
        <v>1055</v>
      </c>
      <c r="D79" s="42" t="b">
        <v>1</v>
      </c>
      <c r="E79" s="41" t="s">
        <v>830</v>
      </c>
      <c r="F79" s="64" t="s">
        <v>1056</v>
      </c>
      <c r="G79" s="87" t="s">
        <v>832</v>
      </c>
      <c r="H79" s="119" t="s">
        <v>142</v>
      </c>
      <c r="I79" s="85" t="s">
        <v>143</v>
      </c>
      <c r="J79" s="85" t="s">
        <v>852</v>
      </c>
    </row>
    <row r="80" spans="1:12" ht="32.1">
      <c r="A80" s="94">
        <v>8.4</v>
      </c>
      <c r="B80" s="39" t="s">
        <v>1057</v>
      </c>
      <c r="C80" s="55" t="s">
        <v>1058</v>
      </c>
      <c r="D80" s="40" t="b">
        <v>0</v>
      </c>
      <c r="E80" s="39" t="s">
        <v>151</v>
      </c>
      <c r="F80" s="62" t="s">
        <v>1059</v>
      </c>
      <c r="G80" s="89"/>
      <c r="H80" s="121"/>
      <c r="I80" s="130"/>
      <c r="J80" s="130"/>
      <c r="K80" s="126"/>
      <c r="L80" s="126"/>
    </row>
    <row r="81" spans="1:12" ht="106.5">
      <c r="A81" s="95">
        <v>8.5</v>
      </c>
      <c r="B81" s="41" t="s">
        <v>1060</v>
      </c>
      <c r="C81" s="56" t="s">
        <v>1061</v>
      </c>
      <c r="D81" s="42" t="b">
        <v>1</v>
      </c>
      <c r="E81" s="41" t="s">
        <v>830</v>
      </c>
      <c r="F81" s="64" t="s">
        <v>1062</v>
      </c>
      <c r="G81" s="87" t="s">
        <v>832</v>
      </c>
      <c r="H81" s="88" t="s">
        <v>142</v>
      </c>
      <c r="I81" s="85" t="s">
        <v>143</v>
      </c>
      <c r="J81" s="28"/>
      <c r="K81" s="28"/>
    </row>
    <row r="82" spans="1:12" ht="91.5">
      <c r="A82" s="94">
        <v>8.6</v>
      </c>
      <c r="B82" s="39" t="s">
        <v>1063</v>
      </c>
      <c r="C82" s="55" t="s">
        <v>1064</v>
      </c>
      <c r="D82" s="40" t="b">
        <v>1</v>
      </c>
      <c r="E82" s="39" t="s">
        <v>830</v>
      </c>
      <c r="F82" s="62" t="s">
        <v>1065</v>
      </c>
      <c r="G82" s="89" t="s">
        <v>832</v>
      </c>
      <c r="H82" s="89"/>
      <c r="I82" s="126"/>
      <c r="J82" s="126"/>
      <c r="K82" s="126"/>
      <c r="L82" s="126"/>
    </row>
    <row r="83" spans="1:12" ht="60.75">
      <c r="A83" s="95">
        <v>8.6999999999999993</v>
      </c>
      <c r="B83" s="41" t="s">
        <v>1066</v>
      </c>
      <c r="C83" s="56" t="s">
        <v>1067</v>
      </c>
      <c r="D83" s="42" t="b">
        <v>1</v>
      </c>
      <c r="E83" s="41" t="s">
        <v>830</v>
      </c>
      <c r="F83" s="64" t="s">
        <v>1068</v>
      </c>
      <c r="G83" s="87" t="s">
        <v>832</v>
      </c>
      <c r="H83" s="119" t="s">
        <v>1069</v>
      </c>
      <c r="I83" s="85" t="s">
        <v>973</v>
      </c>
      <c r="J83" s="85" t="s">
        <v>1070</v>
      </c>
      <c r="K83" s="28"/>
    </row>
    <row r="84" spans="1:12" ht="78.75" customHeight="1">
      <c r="A84" s="94">
        <v>8.8000000000000007</v>
      </c>
      <c r="B84" s="39" t="s">
        <v>1071</v>
      </c>
      <c r="C84" s="55" t="s">
        <v>1072</v>
      </c>
      <c r="D84" s="40" t="b">
        <v>1</v>
      </c>
      <c r="E84" s="39" t="s">
        <v>830</v>
      </c>
      <c r="F84" s="62" t="s">
        <v>1073</v>
      </c>
      <c r="G84" s="147" t="s">
        <v>832</v>
      </c>
      <c r="H84" s="193" t="s">
        <v>1074</v>
      </c>
      <c r="I84" s="124" t="s">
        <v>833</v>
      </c>
      <c r="J84" s="126"/>
      <c r="K84" s="126"/>
      <c r="L84" s="126"/>
    </row>
    <row r="85" spans="1:12" ht="91.5">
      <c r="A85" s="95">
        <v>8.9</v>
      </c>
      <c r="B85" s="41" t="s">
        <v>1075</v>
      </c>
      <c r="C85" s="56" t="s">
        <v>1076</v>
      </c>
      <c r="D85" s="42" t="b">
        <v>1</v>
      </c>
      <c r="E85" s="41" t="s">
        <v>830</v>
      </c>
      <c r="F85" s="64" t="s">
        <v>1077</v>
      </c>
      <c r="G85" s="87" t="s">
        <v>832</v>
      </c>
      <c r="H85" s="87"/>
    </row>
    <row r="86" spans="1:12" ht="120" customHeight="1">
      <c r="A86" s="94" t="s">
        <v>1078</v>
      </c>
      <c r="B86" s="39" t="s">
        <v>1079</v>
      </c>
      <c r="C86" s="55" t="s">
        <v>1080</v>
      </c>
      <c r="D86" s="40" t="b">
        <v>1</v>
      </c>
      <c r="E86" s="39" t="s">
        <v>830</v>
      </c>
      <c r="F86" s="91" t="s">
        <v>1081</v>
      </c>
      <c r="G86" s="186" t="s">
        <v>832</v>
      </c>
      <c r="H86" s="124" t="s">
        <v>833</v>
      </c>
      <c r="I86" s="127" t="s">
        <v>1082</v>
      </c>
      <c r="J86" s="130"/>
      <c r="K86" s="130"/>
      <c r="L86" s="126"/>
    </row>
    <row r="87" spans="1:12" ht="75.75" customHeight="1">
      <c r="A87" s="95">
        <v>8.11</v>
      </c>
      <c r="B87" s="41" t="s">
        <v>1083</v>
      </c>
      <c r="C87" s="56" t="s">
        <v>1084</v>
      </c>
      <c r="D87" s="42" t="b">
        <v>1</v>
      </c>
      <c r="E87" s="41" t="s">
        <v>830</v>
      </c>
      <c r="F87" s="64" t="s">
        <v>1085</v>
      </c>
      <c r="G87" s="123" t="s">
        <v>832</v>
      </c>
      <c r="H87" s="134" t="s">
        <v>833</v>
      </c>
    </row>
    <row r="88" spans="1:12" ht="137.25">
      <c r="A88" s="94">
        <v>8.1199999999999992</v>
      </c>
      <c r="B88" s="39" t="s">
        <v>1086</v>
      </c>
      <c r="C88" s="55" t="s">
        <v>1087</v>
      </c>
      <c r="D88" s="40" t="b">
        <v>1</v>
      </c>
      <c r="E88" s="39" t="s">
        <v>830</v>
      </c>
      <c r="F88" s="62" t="s">
        <v>1088</v>
      </c>
      <c r="G88" s="89" t="s">
        <v>832</v>
      </c>
      <c r="H88" s="124" t="s">
        <v>1089</v>
      </c>
      <c r="I88" s="127" t="s">
        <v>852</v>
      </c>
      <c r="J88" s="127" t="s">
        <v>143</v>
      </c>
      <c r="K88" s="130"/>
      <c r="L88" s="130"/>
    </row>
    <row r="89" spans="1:12" ht="91.5">
      <c r="A89" s="95">
        <v>8.1300000000000008</v>
      </c>
      <c r="B89" s="41" t="s">
        <v>1090</v>
      </c>
      <c r="C89" s="56" t="s">
        <v>1091</v>
      </c>
      <c r="D89" s="42" t="b">
        <v>1</v>
      </c>
      <c r="E89" s="41" t="s">
        <v>830</v>
      </c>
      <c r="F89" s="64" t="s">
        <v>1092</v>
      </c>
      <c r="G89" s="87" t="s">
        <v>832</v>
      </c>
      <c r="H89" s="119" t="s">
        <v>946</v>
      </c>
      <c r="I89" s="85" t="s">
        <v>249</v>
      </c>
      <c r="J89" s="28"/>
      <c r="K89" s="28"/>
    </row>
    <row r="90" spans="1:12" ht="60.75">
      <c r="A90" s="94">
        <v>8.14</v>
      </c>
      <c r="B90" s="39" t="s">
        <v>1093</v>
      </c>
      <c r="C90" s="55" t="s">
        <v>1094</v>
      </c>
      <c r="D90" s="40" t="b">
        <v>1</v>
      </c>
      <c r="E90" s="39" t="s">
        <v>830</v>
      </c>
      <c r="F90" s="62" t="s">
        <v>1095</v>
      </c>
      <c r="G90" s="147" t="s">
        <v>832</v>
      </c>
      <c r="H90" s="193" t="s">
        <v>1096</v>
      </c>
      <c r="I90" s="126"/>
      <c r="J90" s="126"/>
      <c r="K90" s="126"/>
      <c r="L90" s="126"/>
    </row>
    <row r="91" spans="1:12" ht="84.75" customHeight="1">
      <c r="A91" s="95">
        <v>8.15</v>
      </c>
      <c r="B91" s="41" t="s">
        <v>1097</v>
      </c>
      <c r="C91" s="56" t="s">
        <v>1098</v>
      </c>
      <c r="D91" s="42" t="b">
        <v>1</v>
      </c>
      <c r="E91" s="41" t="s">
        <v>830</v>
      </c>
      <c r="F91" s="64" t="s">
        <v>1099</v>
      </c>
      <c r="G91" s="123" t="s">
        <v>832</v>
      </c>
      <c r="H91" s="134" t="s">
        <v>833</v>
      </c>
      <c r="I91" s="66" t="s">
        <v>30</v>
      </c>
    </row>
    <row r="92" spans="1:12" ht="136.5" customHeight="1">
      <c r="A92" s="94">
        <v>8.16</v>
      </c>
      <c r="B92" s="39" t="s">
        <v>1100</v>
      </c>
      <c r="C92" s="55" t="s">
        <v>1101</v>
      </c>
      <c r="D92" s="40" t="b">
        <v>1</v>
      </c>
      <c r="E92" s="227" t="s">
        <v>830</v>
      </c>
      <c r="F92" s="91" t="s">
        <v>1102</v>
      </c>
      <c r="G92" s="186" t="s">
        <v>832</v>
      </c>
      <c r="H92" s="182" t="s">
        <v>833</v>
      </c>
      <c r="I92" s="126"/>
      <c r="J92" s="126"/>
      <c r="K92" s="126"/>
      <c r="L92" s="126"/>
    </row>
    <row r="93" spans="1:12" ht="106.5" customHeight="1">
      <c r="A93" s="95">
        <v>8.17</v>
      </c>
      <c r="B93" s="41" t="s">
        <v>1103</v>
      </c>
      <c r="C93" s="56" t="s">
        <v>1104</v>
      </c>
      <c r="D93" s="42" t="b">
        <v>1</v>
      </c>
      <c r="E93" s="41" t="s">
        <v>830</v>
      </c>
      <c r="F93" s="64" t="s">
        <v>1105</v>
      </c>
      <c r="G93" s="123" t="s">
        <v>832</v>
      </c>
      <c r="H93" s="134" t="s">
        <v>122</v>
      </c>
    </row>
    <row r="94" spans="1:12" ht="108" customHeight="1">
      <c r="A94" s="94">
        <v>8.18</v>
      </c>
      <c r="B94" s="39" t="s">
        <v>1106</v>
      </c>
      <c r="C94" s="55" t="s">
        <v>1107</v>
      </c>
      <c r="D94" s="40" t="b">
        <v>1</v>
      </c>
      <c r="E94" s="227" t="s">
        <v>830</v>
      </c>
      <c r="F94" s="91" t="s">
        <v>1108</v>
      </c>
      <c r="G94" s="186" t="s">
        <v>832</v>
      </c>
      <c r="H94" s="182" t="s">
        <v>833</v>
      </c>
      <c r="I94" s="126"/>
      <c r="J94" s="126"/>
      <c r="K94" s="126"/>
      <c r="L94" s="126"/>
    </row>
    <row r="95" spans="1:12" ht="121.5">
      <c r="A95" s="95">
        <v>8.19</v>
      </c>
      <c r="B95" s="41" t="s">
        <v>1109</v>
      </c>
      <c r="C95" s="56" t="s">
        <v>1110</v>
      </c>
      <c r="D95" s="42" t="b">
        <v>1</v>
      </c>
      <c r="E95" s="41" t="s">
        <v>830</v>
      </c>
      <c r="F95" s="64" t="s">
        <v>1111</v>
      </c>
      <c r="G95" s="87" t="s">
        <v>832</v>
      </c>
      <c r="H95" s="134" t="s">
        <v>833</v>
      </c>
    </row>
    <row r="96" spans="1:12" ht="66" customHeight="1">
      <c r="A96" s="94" t="s">
        <v>1112</v>
      </c>
      <c r="B96" s="39" t="s">
        <v>1113</v>
      </c>
      <c r="C96" s="55" t="s">
        <v>1114</v>
      </c>
      <c r="D96" s="40" t="b">
        <v>1</v>
      </c>
      <c r="E96" s="39" t="s">
        <v>830</v>
      </c>
      <c r="F96" s="62" t="s">
        <v>1115</v>
      </c>
      <c r="G96" s="147" t="s">
        <v>832</v>
      </c>
      <c r="H96" s="124" t="s">
        <v>833</v>
      </c>
      <c r="I96" s="126"/>
      <c r="J96" s="126"/>
      <c r="K96" s="126"/>
      <c r="L96" s="126"/>
    </row>
    <row r="97" spans="1:12" ht="32.1">
      <c r="A97" s="95">
        <v>8.2100000000000009</v>
      </c>
      <c r="B97" s="41" t="s">
        <v>1116</v>
      </c>
      <c r="C97" s="56" t="s">
        <v>1117</v>
      </c>
      <c r="D97" s="42" t="b">
        <v>0</v>
      </c>
      <c r="E97" s="41" t="s">
        <v>151</v>
      </c>
      <c r="F97" s="64" t="s">
        <v>1118</v>
      </c>
      <c r="G97" s="87"/>
      <c r="H97" s="87"/>
    </row>
    <row r="98" spans="1:12" ht="32.1">
      <c r="A98" s="94">
        <v>8.2200000000000006</v>
      </c>
      <c r="B98" s="39" t="s">
        <v>1119</v>
      </c>
      <c r="C98" s="55" t="s">
        <v>1120</v>
      </c>
      <c r="D98" s="40" t="b">
        <v>0</v>
      </c>
      <c r="E98" s="39" t="s">
        <v>151</v>
      </c>
      <c r="F98" s="58" t="s">
        <v>1118</v>
      </c>
      <c r="G98" s="89"/>
      <c r="H98" s="89"/>
      <c r="I98" s="126"/>
      <c r="J98" s="126"/>
      <c r="K98" s="126"/>
      <c r="L98" s="126"/>
    </row>
    <row r="99" spans="1:12" ht="91.5">
      <c r="A99" s="95">
        <v>8.23</v>
      </c>
      <c r="B99" s="41" t="s">
        <v>1121</v>
      </c>
      <c r="C99" s="56" t="s">
        <v>1122</v>
      </c>
      <c r="D99" s="42" t="b">
        <v>1</v>
      </c>
      <c r="E99" s="41" t="s">
        <v>830</v>
      </c>
      <c r="F99" s="64" t="s">
        <v>1123</v>
      </c>
      <c r="G99" s="123" t="s">
        <v>832</v>
      </c>
      <c r="H99" s="134" t="s">
        <v>833</v>
      </c>
    </row>
    <row r="100" spans="1:12" ht="45.75">
      <c r="A100" s="94">
        <v>8.24</v>
      </c>
      <c r="B100" s="39" t="s">
        <v>1124</v>
      </c>
      <c r="C100" s="55" t="s">
        <v>1125</v>
      </c>
      <c r="D100" s="40" t="b">
        <v>1</v>
      </c>
      <c r="E100" s="39" t="s">
        <v>830</v>
      </c>
      <c r="F100" s="62" t="s">
        <v>1126</v>
      </c>
      <c r="G100" s="147" t="s">
        <v>832</v>
      </c>
      <c r="H100" s="124" t="s">
        <v>833</v>
      </c>
      <c r="I100" s="182" t="s">
        <v>122</v>
      </c>
      <c r="J100" s="125" t="s">
        <v>62</v>
      </c>
      <c r="K100" s="260" t="s">
        <v>1127</v>
      </c>
      <c r="L100" s="126"/>
    </row>
    <row r="101" spans="1:12" ht="32.1">
      <c r="A101" s="95">
        <v>8.25</v>
      </c>
      <c r="B101" s="41" t="s">
        <v>1128</v>
      </c>
      <c r="C101" s="56" t="s">
        <v>1129</v>
      </c>
      <c r="D101" s="42" t="b">
        <v>0</v>
      </c>
      <c r="E101" s="41" t="s">
        <v>151</v>
      </c>
      <c r="F101" s="64" t="s">
        <v>1130</v>
      </c>
      <c r="G101" s="87"/>
      <c r="H101" s="87"/>
    </row>
    <row r="102" spans="1:12" ht="32.1">
      <c r="A102" s="94">
        <v>8.26</v>
      </c>
      <c r="B102" s="39" t="s">
        <v>1131</v>
      </c>
      <c r="C102" s="55" t="s">
        <v>1132</v>
      </c>
      <c r="D102" s="40" t="b">
        <v>0</v>
      </c>
      <c r="E102" s="39" t="s">
        <v>151</v>
      </c>
      <c r="F102" s="58" t="s">
        <v>1118</v>
      </c>
      <c r="G102" s="89"/>
      <c r="H102" s="89"/>
      <c r="I102" s="126"/>
      <c r="J102" s="126"/>
      <c r="K102" s="126"/>
      <c r="L102" s="126"/>
    </row>
    <row r="103" spans="1:12" ht="48">
      <c r="A103" s="95">
        <v>8.27</v>
      </c>
      <c r="B103" s="41" t="s">
        <v>1133</v>
      </c>
      <c r="C103" s="56" t="s">
        <v>1134</v>
      </c>
      <c r="D103" s="42" t="b">
        <v>0</v>
      </c>
      <c r="E103" s="41" t="s">
        <v>151</v>
      </c>
      <c r="F103" s="64" t="s">
        <v>1130</v>
      </c>
      <c r="G103" s="87"/>
      <c r="H103" s="87"/>
    </row>
    <row r="104" spans="1:12" ht="15.95">
      <c r="A104" s="94">
        <v>8.2799999999999994</v>
      </c>
      <c r="B104" s="39" t="s">
        <v>1135</v>
      </c>
      <c r="C104" s="39" t="s">
        <v>1136</v>
      </c>
      <c r="D104" s="40" t="b">
        <v>0</v>
      </c>
      <c r="E104" s="39" t="s">
        <v>151</v>
      </c>
      <c r="F104" s="91" t="s">
        <v>1130</v>
      </c>
      <c r="G104" s="89"/>
      <c r="H104" s="89"/>
      <c r="I104" s="126"/>
      <c r="J104" s="126"/>
      <c r="K104" s="126"/>
      <c r="L104" s="126"/>
    </row>
    <row r="105" spans="1:12" ht="32.1">
      <c r="A105" s="95">
        <v>8.2899999999999991</v>
      </c>
      <c r="B105" s="41" t="s">
        <v>1137</v>
      </c>
      <c r="C105" s="56" t="s">
        <v>1138</v>
      </c>
      <c r="D105" s="42" t="b">
        <v>0</v>
      </c>
      <c r="E105" s="41" t="s">
        <v>151</v>
      </c>
      <c r="F105" s="64" t="s">
        <v>1130</v>
      </c>
      <c r="G105" s="87"/>
      <c r="H105" s="87"/>
    </row>
    <row r="106" spans="1:12" ht="32.1">
      <c r="A106" s="94" t="s">
        <v>1139</v>
      </c>
      <c r="B106" s="39" t="s">
        <v>1140</v>
      </c>
      <c r="C106" s="55" t="s">
        <v>1141</v>
      </c>
      <c r="D106" s="40" t="b">
        <v>0</v>
      </c>
      <c r="E106" s="39" t="s">
        <v>151</v>
      </c>
      <c r="F106" s="91" t="s">
        <v>1130</v>
      </c>
      <c r="G106" s="89"/>
      <c r="H106" s="89"/>
      <c r="I106" s="126"/>
      <c r="J106" s="126"/>
      <c r="K106" s="126"/>
      <c r="L106" s="126"/>
    </row>
    <row r="107" spans="1:12" ht="30.75">
      <c r="A107" s="95">
        <v>8.31</v>
      </c>
      <c r="B107" s="56" t="s">
        <v>1142</v>
      </c>
      <c r="C107" s="56" t="s">
        <v>1143</v>
      </c>
      <c r="D107" s="42" t="b">
        <v>0</v>
      </c>
      <c r="E107" s="41" t="s">
        <v>151</v>
      </c>
      <c r="F107" s="64" t="s">
        <v>1130</v>
      </c>
      <c r="G107" s="87"/>
      <c r="H107" s="87"/>
    </row>
    <row r="108" spans="1:12" ht="76.5">
      <c r="A108" s="94">
        <v>8.32</v>
      </c>
      <c r="B108" s="39" t="s">
        <v>1144</v>
      </c>
      <c r="C108" s="55" t="s">
        <v>1145</v>
      </c>
      <c r="D108" s="40" t="b">
        <v>1</v>
      </c>
      <c r="E108" s="39" t="s">
        <v>830</v>
      </c>
      <c r="F108" s="62" t="s">
        <v>1146</v>
      </c>
      <c r="G108" s="261" t="s">
        <v>832</v>
      </c>
      <c r="H108" s="127" t="s">
        <v>1147</v>
      </c>
      <c r="I108" s="127"/>
      <c r="J108" s="126"/>
      <c r="K108" s="126"/>
      <c r="L108" s="126"/>
    </row>
    <row r="109" spans="1:12" ht="32.1">
      <c r="A109" s="95">
        <v>8.33</v>
      </c>
      <c r="B109" s="41" t="s">
        <v>1148</v>
      </c>
      <c r="C109" s="56" t="s">
        <v>1149</v>
      </c>
      <c r="D109" s="42" t="b">
        <v>0</v>
      </c>
      <c r="E109" s="41" t="s">
        <v>151</v>
      </c>
      <c r="F109" s="64" t="s">
        <v>1130</v>
      </c>
      <c r="G109" s="87"/>
      <c r="H109" s="87"/>
    </row>
    <row r="110" spans="1:12" ht="129" customHeight="1">
      <c r="A110" s="94">
        <v>8.34</v>
      </c>
      <c r="B110" s="39" t="s">
        <v>1150</v>
      </c>
      <c r="C110" s="55" t="s">
        <v>1151</v>
      </c>
      <c r="D110" s="238" t="b">
        <v>1</v>
      </c>
      <c r="E110" s="227" t="s">
        <v>830</v>
      </c>
      <c r="F110" s="91" t="s">
        <v>1152</v>
      </c>
      <c r="G110" s="186" t="s">
        <v>832</v>
      </c>
      <c r="H110" s="182" t="s">
        <v>1153</v>
      </c>
      <c r="I110" s="126"/>
      <c r="J110" s="126"/>
      <c r="K110" s="126"/>
      <c r="L110" s="126"/>
    </row>
  </sheetData>
  <autoFilter ref="A13:L13" xr:uid="{00806B1C-50D9-4113-994E-F4F8D094492B}">
    <filterColumn colId="7" showButton="0"/>
    <filterColumn colId="8" showButton="0"/>
    <filterColumn colId="9" showButton="0"/>
    <filterColumn colId="10" showButton="0"/>
  </autoFilter>
  <mergeCells count="2">
    <mergeCell ref="H13:L13"/>
    <mergeCell ref="B7:F7"/>
  </mergeCells>
  <hyperlinks>
    <hyperlink ref="H29" r:id="rId1" xr:uid="{64EBD886-85E8-4179-A0CE-2CFCB43843AB}"/>
    <hyperlink ref="H25" r:id="rId2" xr:uid="{BE949704-827C-4280-8689-4C8CE761B2B0}"/>
    <hyperlink ref="H32" r:id="rId3" xr:uid="{D298A3BF-DFA3-4B2E-AF4C-DF4455794139}"/>
    <hyperlink ref="I24" r:id="rId4" xr:uid="{F003C969-1F8C-46B0-801C-842613EA2DE1}"/>
    <hyperlink ref="I26" r:id="rId5" xr:uid="{673ECFF4-090C-4710-9F35-71BE8C3B2A27}"/>
    <hyperlink ref="H38" r:id="rId6" xr:uid="{524C52CD-FAB1-4C41-A3C9-34714629DE06}"/>
    <hyperlink ref="I39" r:id="rId7" xr:uid="{D5204612-B569-4A0B-B92C-AAB83846FA06}"/>
    <hyperlink ref="I40" r:id="rId8" xr:uid="{3B5736E5-CF57-4D4E-8FA9-A251DDFA7DDA}"/>
    <hyperlink ref="H44" r:id="rId9" xr:uid="{E3EBC681-9B1A-47BA-97CE-5ACB78376A8B}"/>
    <hyperlink ref="I44" r:id="rId10" xr:uid="{49A7D229-20C3-4935-A37B-B2CABB646FD2}"/>
    <hyperlink ref="H45" r:id="rId11" xr:uid="{1D1D167C-9B3F-49D2-BFF4-F78CB13CB6E7}"/>
    <hyperlink ref="H47" r:id="rId12" xr:uid="{614BCD82-9941-4703-875B-07DC3E4F1470}"/>
    <hyperlink ref="L34" r:id="rId13" xr:uid="{836F4EA0-9016-43AB-B463-0164F8796A34}"/>
    <hyperlink ref="K34" r:id="rId14" xr:uid="{6971467E-6E29-41EE-BD04-B60E5860ED38}"/>
    <hyperlink ref="J34" r:id="rId15" xr:uid="{1B73ED29-665A-43CB-8E99-52C1961FD5A5}"/>
    <hyperlink ref="I34" r:id="rId16" xr:uid="{111E6DD1-374D-4055-B241-A7376D2BBCF0}"/>
    <hyperlink ref="H34" r:id="rId17" xr:uid="{7D5FE7D4-C98B-484B-9717-4C3D2869A239}"/>
    <hyperlink ref="I48" r:id="rId18" xr:uid="{7F446556-AEDF-4EC4-835F-C37689861D01}"/>
    <hyperlink ref="I49" r:id="rId19" xr:uid="{2F99197D-9AE5-4EEE-A145-0676E76D5130}"/>
    <hyperlink ref="H51" r:id="rId20" xr:uid="{F281C1EB-469E-4F20-B394-7800853D76B2}"/>
    <hyperlink ref="H36" r:id="rId21" xr:uid="{166FFAD5-A1B6-4314-8F08-67C22426E8AE}"/>
    <hyperlink ref="I36" r:id="rId22" xr:uid="{A075017A-2FC9-4F04-AE7A-031E0BDBBA18}"/>
    <hyperlink ref="I54" r:id="rId23" xr:uid="{12A0F6AA-C321-4CC4-9A60-69E68D365A00}"/>
    <hyperlink ref="J54" r:id="rId24" xr:uid="{60C625AF-EB27-4A2D-94A4-EE574D428DF3}"/>
    <hyperlink ref="K54" r:id="rId25" xr:uid="{C2440218-B720-4CE1-A049-2B56B745C3B9}"/>
    <hyperlink ref="H55" r:id="rId26" xr:uid="{CCB0E58A-833C-40C6-B579-02144F8A9C1F}"/>
    <hyperlink ref="H59" r:id="rId27" xr:uid="{F6654F04-9E86-46CC-80D8-13AF5556AB59}"/>
    <hyperlink ref="J59" r:id="rId28" xr:uid="{40DC2338-CB36-402B-85FE-7A5B61424265}"/>
    <hyperlink ref="I32" r:id="rId29" xr:uid="{CC055E8D-35D6-4682-AF72-6E95AA8B3689}"/>
    <hyperlink ref="I59" r:id="rId30" xr:uid="{12A674E0-B09C-4AF0-B5F0-B10EFD984103}"/>
    <hyperlink ref="H71" r:id="rId31" xr:uid="{D2970A1A-9499-40A6-A1D3-1F77938F9E42}"/>
    <hyperlink ref="I71" r:id="rId32" xr:uid="{E574A5EB-9AF6-4F09-A213-6C81AF55729A}"/>
    <hyperlink ref="J77" r:id="rId33" xr:uid="{A81F02E2-C4BA-4449-9348-2392AE5428CA}"/>
    <hyperlink ref="I77" r:id="rId34" xr:uid="{B2177DC0-8802-444A-9BDA-CFE3C39222AB}"/>
    <hyperlink ref="H78" r:id="rId35" xr:uid="{73D25475-A801-4FDD-85AF-683932544EA3}"/>
    <hyperlink ref="I78" r:id="rId36" xr:uid="{08774E32-C912-4768-800D-E0D1A9F797F1}"/>
    <hyperlink ref="H20" r:id="rId37" xr:uid="{51F2F143-D8DD-4BAB-A7D7-AE417EBFDC06}"/>
    <hyperlink ref="I20" r:id="rId38" xr:uid="{C4C65AD8-1E53-4B24-B0FB-897669E6E788}"/>
    <hyperlink ref="J20" r:id="rId39" xr:uid="{F05AF25D-3B88-470E-8F08-9AA1A46D07EE}"/>
    <hyperlink ref="J36" r:id="rId40" xr:uid="{9BC2A351-2590-4FCA-9944-BDBB493DEE43}"/>
    <hyperlink ref="K36" r:id="rId41" xr:uid="{2B25A1EC-BFF1-4FD1-9495-57187BDF5393}"/>
    <hyperlink ref="H41" r:id="rId42" xr:uid="{C48A9937-E7CA-4DB9-8E81-BC0CCFE32BE4}"/>
    <hyperlink ref="I45" r:id="rId43" xr:uid="{6D56ECE7-4323-48DB-8379-11561F9BBB26}"/>
    <hyperlink ref="J50" r:id="rId44" xr:uid="{00DAB394-373F-43C7-BEDB-1A70014B2673}"/>
    <hyperlink ref="K50" r:id="rId45" xr:uid="{81AA4CEC-0152-44B9-9A66-684F76961009}"/>
    <hyperlink ref="I50" r:id="rId46" xr:uid="{2F91640C-5173-49CF-9F12-8CBD0F663C0E}"/>
    <hyperlink ref="I55" r:id="rId47" xr:uid="{0A82CCDD-8B7D-468F-8433-569692218836}"/>
    <hyperlink ref="J78" r:id="rId48" xr:uid="{A45D0392-DE0B-42F7-829D-0BE32AFB454A}"/>
    <hyperlink ref="I25" r:id="rId49" xr:uid="{85775E23-4558-4C0A-896A-CEAC80BDE37B}"/>
    <hyperlink ref="H79" r:id="rId50" xr:uid="{EE493225-45EB-4856-8DDE-ECC34CBA5CA5}"/>
    <hyperlink ref="I79" r:id="rId51" xr:uid="{5D0DF2C7-1652-4333-B5F8-D5B6553E2DAD}"/>
    <hyperlink ref="J79" r:id="rId52" xr:uid="{4DC2AA1B-7A20-462D-89E3-8B600EE23503}"/>
    <hyperlink ref="I27" r:id="rId53" xr:uid="{7EDDA04D-420E-4F01-8F75-80B684052794}"/>
    <hyperlink ref="L36" r:id="rId54" xr:uid="{C24E0D94-3386-458F-A03F-3F9B454EF16A}"/>
    <hyperlink ref="L54" r:id="rId55" xr:uid="{937792D6-7D2E-4A09-895F-B77B052186FC}"/>
    <hyperlink ref="H57" r:id="rId56" xr:uid="{F47822E0-BC02-4D5F-A5B9-E9C6ECCFE248}"/>
    <hyperlink ref="H54" r:id="rId57" xr:uid="{997552F3-BA91-466B-B62E-BB59FAFD289D}"/>
    <hyperlink ref="H58" r:id="rId58" xr:uid="{6555772D-BA7C-4474-8339-D11EDF0AF93C}"/>
    <hyperlink ref="H81" r:id="rId59" xr:uid="{9D0FB762-CA8C-4DAC-8B80-F79A7B38D456}"/>
    <hyperlink ref="I81" r:id="rId60" xr:uid="{CF1F1D11-F71B-4460-8051-518A233C9239}"/>
    <hyperlink ref="H77" r:id="rId61" xr:uid="{A4D71B9A-C187-41AC-91AE-20B29847C449}"/>
    <hyperlink ref="H15" r:id="rId62" xr:uid="{180E47F5-2649-489D-8ADE-5F9879C322D0}"/>
    <hyperlink ref="H16" r:id="rId63" xr:uid="{299FBB3C-CF4E-43CE-8156-0B501343A1A8}"/>
    <hyperlink ref="H26" r:id="rId64" xr:uid="{856FAD25-BE40-4813-A830-D05AEB841B05}"/>
    <hyperlink ref="H27" r:id="rId65" xr:uid="{389BEAAE-C562-442D-A940-71CA69B9BB75}"/>
    <hyperlink ref="H39" r:id="rId66" xr:uid="{A8D33269-92E8-4BB0-9072-5CF28854982E}"/>
    <hyperlink ref="H40" r:id="rId67" xr:uid="{67049D35-3595-4F10-914C-4C1BB710C923}"/>
    <hyperlink ref="H48" r:id="rId68" xr:uid="{BA9CEF8C-0FA5-4E9B-B38A-AB2B1D6B23CB}"/>
    <hyperlink ref="H49:H50" r:id="rId69" display="Information Security and Data Management Policy" xr:uid="{B7253AE5-C899-4513-A1EE-244D72128A6C}"/>
    <hyperlink ref="I83" r:id="rId70" xr:uid="{424A58B6-5172-4D1B-8951-368AE4B3C5D8}"/>
    <hyperlink ref="H83" r:id="rId71" xr:uid="{8BDA187F-15F8-4D5A-9280-0BD45A07D256}"/>
    <hyperlink ref="J83" r:id="rId72" xr:uid="{05E05BBE-70F2-41A1-B9F6-CEDF00CDD9E5}"/>
    <hyperlink ref="H86" r:id="rId73" xr:uid="{ACBB3E60-3268-4A33-9D7D-326806D51C6C}"/>
    <hyperlink ref="I86" r:id="rId74" xr:uid="{F1AA9D58-641D-4F95-B424-CA08DD483E3F}"/>
    <hyperlink ref="H89" r:id="rId75" xr:uid="{309B3E64-1E31-4199-B1D7-5874BE34166F}"/>
    <hyperlink ref="H88" r:id="rId76" xr:uid="{1EFABE66-00CB-4E94-A9FC-65461591B829}"/>
    <hyperlink ref="I88" r:id="rId77" xr:uid="{A44EF014-8E46-43CF-A684-A76617BCE65B}"/>
    <hyperlink ref="J88" r:id="rId78" xr:uid="{5EAF8282-3B02-4A76-B80B-E85E1F0FAAF3}"/>
    <hyperlink ref="H108" r:id="rId79" display="../../../../../../../../../../:w:/r/sites/labguide/_layouts/15/Doc.aspx?sourcedoc=%7B9183D52F-BCDC-4C10-B0A0-C28CFBBCA4AF%7D&amp;file=ISMS%20Change%20Management%20Process.docx&amp;action=default&amp;mobileredirect=true" xr:uid="{4585F5B0-4F8C-46D7-ADA8-52591B226B26}"/>
    <hyperlink ref="H84" r:id="rId80" xr:uid="{43FE5EA1-A364-4582-BFB1-BAEA58A005F3}"/>
    <hyperlink ref="H90" r:id="rId81" xr:uid="{BCF3E56B-9D63-423C-8884-BCD393F59BF5}"/>
    <hyperlink ref="H96" r:id="rId82" display="../../../../../../../../../../:w:/r/sites/labguide/_layouts/15/Doc.aspx?sourcedoc=%7B376BAAE8-4D45-4EF9-BDC0-5C4906ED7FFF%7D&amp;file=Information%20Security%20%26%20Data%20Management%20Policy.docx&amp;action=default&amp;mobileredirect=true" xr:uid="{D676229C-511E-427A-BFAE-2589E427C2F7}"/>
    <hyperlink ref="H95" r:id="rId83" display="../../../../../../../../../../:w:/r/sites/labguide/_layouts/15/Doc.aspx?sourcedoc=%7B376BAAE8-4D45-4EF9-BDC0-5C4906ED7FFF%7D&amp;file=Information%20Security%20%26%20Data%20Management%20Policy.docx&amp;action=default&amp;mobileredirect=true" xr:uid="{E67C866A-2F72-4F28-A33E-2A3D5D9D150B}"/>
    <hyperlink ref="H100" r:id="rId84" display="../../../../../../../../../../:w:/r/sites/labguide/_layouts/15/Doc.aspx?sourcedoc=%7B376BAAE8-4D45-4EF9-BDC0-5C4906ED7FFF%7D&amp;file=Information%20Security%20%26%20Data%20Management%20Policy.docx&amp;action=default&amp;mobileredirect=true" xr:uid="{5CEDDFE4-D18E-4D88-8FAC-CAB0D8569404}"/>
    <hyperlink ref="H17" r:id="rId85" display="../../../../../../../../../../:w:/r/sites/labguide/_layouts/15/Doc.aspx?sourcedoc=%7B376BAAE8-4D45-4EF9-BDC0-5C4906ED7FFF%7D&amp;file=Information%20Security%20%26%20Data%20Management%20Policy.docx&amp;action=default&amp;mobileredirect=true" xr:uid="{3496510F-AF61-4391-A922-4B7DCE26A364}"/>
    <hyperlink ref="H19" r:id="rId86" xr:uid="{6258E9CB-CD5E-43EB-A143-C443C94CEA77}"/>
    <hyperlink ref="H21" r:id="rId87" display="../../../../../../../../../../:w:/r/sites/labguide/_layouts/15/Doc.aspx?sourcedoc=%7B376BAAE8-4D45-4EF9-BDC0-5C4906ED7FFF%7D&amp;file=Information%20Security%20%26%20Data%20Management%20Policy.docx&amp;action=default&amp;mobileredirect=true" xr:uid="{E92941B2-83C5-4A96-9092-065339BEA901}"/>
    <hyperlink ref="I21" r:id="rId88" display="../../../../../../../../../../:w:/r/sites/labguide/_layouts/15/Doc.aspx?sourcedoc=%7B04DF61BF-06A6-4A12-B684-5BB063E90035%7D&amp;file=Information%20Security%20and%20Data%20Management%20Process.docx&amp;action=default&amp;mobileredirect=true" xr:uid="{F31B207D-9E05-4F87-8974-B6F477243CBF}"/>
    <hyperlink ref="H22" r:id="rId89" display="../../../../../../../../../../:w:/r/sites/labguide/_layouts/15/Doc.aspx?sourcedoc=%7B376BAAE8-4D45-4EF9-BDC0-5C4906ED7FFF%7D&amp;file=Information%20Security%20%26%20Data%20Management%20Policy.docx&amp;action=default&amp;mobileredirect=true" xr:uid="{CAB8D800-4507-4453-A8C0-DDADA3EDE7D0}"/>
    <hyperlink ref="I22" r:id="rId90" display="../../../../../../../../../../:w:/r/sites/labguide/_layouts/15/Doc.aspx?sourcedoc=%7B04DF61BF-06A6-4A12-B684-5BB063E90035%7D&amp;file=Information%20Security%20and%20Data%20Management%20Process.docx&amp;action=default&amp;mobileredirect=true" xr:uid="{B03E700B-6731-46F8-B8EB-2BC6B2B2FF7C}"/>
    <hyperlink ref="H23" r:id="rId91" xr:uid="{D93B5D65-9D45-4046-938B-4BAAFB755AD4}"/>
    <hyperlink ref="H28" r:id="rId92" display="../../../../../../../../../../:w:/r/sites/labguide/_layouts/15/Doc.aspx?sourcedoc=%7B376BAAE8-4D45-4EF9-BDC0-5C4906ED7FFF%7D&amp;file=Information%20Security%20%26%20Data%20Management%20Policy.docx&amp;action=default&amp;mobileredirect=true" xr:uid="{9E8D81A9-CE6D-4495-8DE5-338FE0E02BFF}"/>
    <hyperlink ref="H30" r:id="rId93" display="../../../../../../../../../../:w:/r/sites/labguide/_layouts/15/Doc.aspx?sourcedoc=%7B376BAAE8-4D45-4EF9-BDC0-5C4906ED7FFF%7D&amp;file=Information%20Security%20%26%20Data%20Management%20Policy.docx&amp;action=default&amp;mobileredirect=true" xr:uid="{9EEEA621-B84B-48F5-AB92-4AE7D8B003A6}"/>
    <hyperlink ref="I28" r:id="rId94" xr:uid="{9F6305FB-581F-429F-B2E5-FAA1CD6C90D5}"/>
    <hyperlink ref="H31" r:id="rId95" display="../../../../../../../../../../:w:/r/sites/labguide/_layouts/15/Doc.aspx?sourcedoc=%7B04DF61BF-06A6-4A12-B684-5BB063E90035%7D&amp;file=Information%20Security%20and%20Data%20Management%20Process.docx&amp;action=default&amp;mobileredirect=true" xr:uid="{0BBE35AD-AADC-4763-8474-810F4C1BD558}"/>
    <hyperlink ref="H33" r:id="rId96" display="../../../../../../../../../../:w:/r/sites/labguide/_layouts/15/Doc.aspx?sourcedoc=%7BE12A2F5E-46E2-46B4-BBB0-453200E2FAD1%7D&amp;file=Supplier%20Vendor%20Security%20Policy.docx&amp;action=default&amp;mobileredirect=true" xr:uid="{7821A96B-4A0D-420D-AF31-C033A5FE2B41}"/>
    <hyperlink ref="I33" r:id="rId97" display="../../../../../../../../../../:w:/r/sites/labguide/_layouts/15/Doc.aspx?sourcedoc=%7BCBB57327-9903-438B-8DB4-374ABBDB61A0%7D&amp;file=Supplier%20%26%20Vendor%20Security%20Process.docx&amp;action=default&amp;mobileredirect=true" xr:uid="{A12C33C6-CE02-49AF-95B8-069F95F370E6}"/>
    <hyperlink ref="J33" r:id="rId98" xr:uid="{382C8C35-3248-45E0-AB34-598BD75301D1}"/>
    <hyperlink ref="H35" r:id="rId99" xr:uid="{08820627-643A-41E2-BF80-8BF7BD6A85A3}"/>
    <hyperlink ref="I35" r:id="rId100" display="../../../../../../../../../../:w:/r/sites/labguide/_layouts/15/Doc.aspx?sourcedoc=%7BE12A2F5E-46E2-46B4-BBB0-453200E2FAD1%7D&amp;file=Supplier%20Vendor%20Security%20Policy.docx&amp;action=default&amp;mobileredirect=true" xr:uid="{F94FC481-B69D-4520-8F85-A1082B3F4316}"/>
    <hyperlink ref="J35" r:id="rId101" display="../../../../../../../../../../:w:/r/sites/labguide/_layouts/15/Doc.aspx?sourcedoc=%7BCBB57327-9903-438B-8DB4-374ABBDB61A0%7D&amp;file=Supplier%20%26%20Vendor%20Security%20Process.docx&amp;action=default&amp;mobileredirect=true" xr:uid="{B58CE61F-3B7B-48E9-8F74-5DB31DC8BBF3}"/>
    <hyperlink ref="H42" r:id="rId102" xr:uid="{ACA5B859-CB8A-4F36-B803-CFA7E497CEC5}"/>
    <hyperlink ref="I42" r:id="rId103" xr:uid="{E551BA7E-7239-4DB7-91D3-A6CEA3879D23}"/>
    <hyperlink ref="J42" r:id="rId104" xr:uid="{8B47CC69-86ED-4157-AAED-0118F404280A}"/>
    <hyperlink ref="K42" r:id="rId105" xr:uid="{87473E5A-E20A-47B3-A570-5AF47A42CD6B}"/>
    <hyperlink ref="H43" r:id="rId106" display="../../../../../../../../../../:w:/r/sites/labguide/_layouts/15/Doc.aspx?sourcedoc=%7B93E784E1-5622-4008-A7DE-A8E1B8486018%7D&amp;file=Business%20Continuity%20Policy.docx&amp;action=default&amp;mobileredirect=true" xr:uid="{87DC5C26-EDC2-4DD9-83DF-9CC465C6DC1F}"/>
    <hyperlink ref="I43" r:id="rId107" display="../../../../../../../../../../:w:/r/sites/labguide/_layouts/15/Doc.aspx?sourcedoc=%7B8CD10703-2AF0-45FA-928B-7F3536557E7F%7D&amp;file=Backup%20and%20Recovery%20Plan%20and%20Process.docx&amp;action=default&amp;mobileredirect=true" xr:uid="{BD3803C2-2DE4-4E3F-9C50-BC28FCFE58EF}"/>
    <hyperlink ref="J43" r:id="rId108" xr:uid="{F007F429-A5D6-44C2-A306-C21ABBA8836D}"/>
    <hyperlink ref="H46" r:id="rId109" xr:uid="{5C647285-E041-43CA-8F62-649847032DEF}"/>
    <hyperlink ref="I46" r:id="rId110" display="../../../../../../../../../../:w:/r/sites/labguide/_layouts/15/Doc.aspx?sourcedoc=%7B04DF61BF-06A6-4A12-B684-5BB063E90035%7D&amp;file=Information%20Security%20and%20Data%20Management%20Process.docx&amp;action=default&amp;mobileredirect=true" xr:uid="{224402D6-754D-4A63-BF31-B3E11C773B06}"/>
    <hyperlink ref="H53" r:id="rId111" xr:uid="{F1F00784-B2A8-4F37-8638-653924691F95}"/>
    <hyperlink ref="H87" r:id="rId112" display="../../../../../../../../../../:w:/r/sites/labguide/_layouts/15/Doc.aspx?sourcedoc=%7B376BAAE8-4D45-4EF9-BDC0-5C4906ED7FFF%7D&amp;file=Information%20Security%20%26%20Data%20Management%20Policy.docx&amp;action=default&amp;mobileredirect=true" xr:uid="{8D7D4F35-CFB2-4E4D-ADC3-CFED4C22F775}"/>
    <hyperlink ref="I56" r:id="rId113" xr:uid="{D87C6D68-810C-40D2-85F6-C1996A987E7D}"/>
    <hyperlink ref="H56" r:id="rId114" xr:uid="{3D0AE43C-096E-4ABC-9608-19680EDB8498}"/>
    <hyperlink ref="H60" r:id="rId115" display="../../../../../../../../../../:w:/r/sites/labguide/_layouts/15/Doc.aspx?sourcedoc=%7B376BAAE8-4D45-4EF9-BDC0-5C4906ED7FFF%7D&amp;file=Information%20Security%20%26%20Data%20Management%20Policy.docx&amp;action=default&amp;mobileredirect=true" xr:uid="{05B8F2BA-4CF0-49A7-8DA9-71E11D9F95CF}"/>
    <hyperlink ref="H68" r:id="rId116" display="../../../../../../../../../../:w:/s/labguide/Ef7zPXEuSdlJhxI92JXyJxgBowgQEHyU0Fs_f4qd-bx54w?e=YVbd7j" xr:uid="{2ACCCAD5-B2BE-4C4B-82A4-859A71A08023}"/>
    <hyperlink ref="H70" r:id="rId117" display="../../../../../../../../../../:w:/s/labguide/Ef7zPXEuSdlJhxI92JXyJxgBowgQEHyU0Fs_f4qd-bx54w?e=YVbd7j" xr:uid="{CEFFDBFD-170C-4B37-B811-788670B034BD}"/>
    <hyperlink ref="H74" r:id="rId118" display="../../../../../../../../../../:w:/s/labguide/Ef7zPXEuSdlJhxI92JXyJxgBowgQEHyU0Fs_f4qd-bx54w?e=YVbd7j" xr:uid="{E6FD4202-7217-4AAF-A49A-D2F00DF135FD}"/>
    <hyperlink ref="H75" r:id="rId119" display="../../../../../../../../../../:w:/s/labguide/Ef7zPXEuSdlJhxI92JXyJxgBowgQEHyU0Fs_f4qd-bx54w?e=YVbd7j" xr:uid="{5C7D079F-7F79-4D9E-B497-E6393B12A3C0}"/>
    <hyperlink ref="H91" r:id="rId120" display="../../../../../../../../../../:w:/r/sites/labguide/_layouts/15/Doc.aspx?sourcedoc=%7B376BAAE8-4D45-4EF9-BDC0-5C4906ED7FFF%7D&amp;file=Information%20Security%20%26%20Data%20Management%20Policy.docx&amp;action=default&amp;mobileredirect=true" xr:uid="{94F29835-C347-4F41-B1B6-C6FD3C989D6A}"/>
    <hyperlink ref="H92" r:id="rId121" display="../../../../../../../../../../:w:/r/sites/labguide/_layouts/15/Doc.aspx?sourcedoc=%7B376BAAE8-4D45-4EF9-BDC0-5C4906ED7FFF%7D&amp;file=Information%20Security%20%26%20Data%20Management%20Policy.docx&amp;action=default&amp;mobileredirect=true" xr:uid="{F0B3A2E1-F9A7-493D-927D-62C4D1E5C169}"/>
    <hyperlink ref="H93" r:id="rId122" display="../../../../../../../../../../:w:/s/labguide/Ef7zPXEuSdlJhxI92JXyJxgBowgQEHyU0Fs_f4qd-bx54w?e=YVbd7j" xr:uid="{362D8817-8D36-4C82-8869-33E2A8B32873}"/>
    <hyperlink ref="H94" r:id="rId123" display="../../../../../../../../../../:w:/r/sites/labguide/_layouts/15/Doc.aspx?sourcedoc=%7B376BAAE8-4D45-4EF9-BDC0-5C4906ED7FFF%7D&amp;file=Information%20Security%20%26%20Data%20Management%20Policy.docx&amp;action=default&amp;mobileredirect=true" xr:uid="{4C57E553-1382-4348-905E-3C26D5A2EFBC}"/>
    <hyperlink ref="H99" r:id="rId124" display="../../../../../../../../../../:w:/r/sites/labguide/_layouts/15/Doc.aspx?sourcedoc=%7B376BAAE8-4D45-4EF9-BDC0-5C4906ED7FFF%7D&amp;file=Information%20Security%20%26%20Data%20Management%20Policy.docx&amp;action=default&amp;mobileredirect=true" xr:uid="{D8D3E41D-A04D-4E5E-A95D-6A6BA5C08570}"/>
    <hyperlink ref="I100" r:id="rId125" display="../../../../../../../../../../:w:/s/labguide/Ef7zPXEuSdlJhxI92JXyJxgBowgQEHyU0Fs_f4qd-bx54w?e=YVbd7j" xr:uid="{64741FBB-25EC-4919-94B6-B03A3D148057}"/>
    <hyperlink ref="H110" r:id="rId126" xr:uid="{0878067A-2DBE-45B6-8926-345FEBA25629}"/>
    <hyperlink ref="J21" r:id="rId127" xr:uid="{37722DC3-38BA-47DC-8C59-64806E719E1A}"/>
    <hyperlink ref="I19" r:id="rId128" xr:uid="{90BF8DB6-E284-406A-B39A-70642009715D}"/>
    <hyperlink ref="L42" r:id="rId129" display="../../../../../../../../../../:w:/r/sites/labguide/_layouts/15/Doc.aspx?sourcedoc=%7B376BAAE8-4D45-4EF9-BDC0-5C4906ED7FFF%7D&amp;file=Information%20Security%20%26%20Data%20Management%20Policy.docx&amp;action=default&amp;mobileredirect=true" xr:uid="{588865A2-2165-484D-89CC-A1DF21B4FE90}"/>
    <hyperlink ref="H37" r:id="rId130" display="../../../../../../../../../../:w:/r/sites/labguide/_layouts/15/Doc.aspx?sourcedoc=%7B376BAAE8-4D45-4EF9-BDC0-5C4906ED7FFF%7D&amp;file=Information%20Security%20%26%20Data%20Management%20Policy.docx&amp;action=default&amp;mobileredirect=true" xr:uid="{1D426DF1-8EDA-428B-BF83-442EF5D6FE05}"/>
    <hyperlink ref="I91" r:id="rId131" xr:uid="{9B40D52A-2669-4CF8-B995-347C1799621D}"/>
    <hyperlink ref="I89" r:id="rId132" xr:uid="{1BAB9513-91FE-4A71-A3B3-9D08061AC06D}"/>
    <hyperlink ref="J100" r:id="rId133" xr:uid="{951D5634-FD2A-4992-917B-7D5F05D4219A}"/>
    <hyperlink ref="K100" r:id="rId134" xr:uid="{589F84CE-F59A-4398-8AC5-1E8431D29347}"/>
    <hyperlink ref="I84" r:id="rId135" xr:uid="{59366E6B-3919-4689-B08C-3F129FA677B5}"/>
    <hyperlink ref="J28" r:id="rId136" xr:uid="{0134F674-A074-40AC-909E-3380062A61B3}"/>
    <hyperlink ref="K28" r:id="rId137" xr:uid="{6A2A8106-6C43-4787-9701-526EBF9CEF69}"/>
    <hyperlink ref="K33" r:id="rId138" xr:uid="{425DE1CF-870F-486D-9AFF-6B982FC4B79D}"/>
    <hyperlink ref="L33" r:id="rId139" xr:uid="{3EE3522E-2E93-42F2-A2D4-6CDD5B5DA4DA}"/>
    <hyperlink ref="M34" r:id="rId140" xr:uid="{37BDEBA2-7C0D-4F92-BF58-BAE939FC4076}"/>
    <hyperlink ref="N34" r:id="rId141" xr:uid="{C9866520-6A48-4332-851C-E9D929A9CC92}"/>
    <hyperlink ref="K35" r:id="rId142" display="../../../../../../../../../../:w:/r/sites/labguide/_layouts/15/Doc.aspx?sourcedoc=%7B376BAAE8-4D45-4EF9-BDC0-5C4906ED7FFF%7D&amp;file=Information%20Security%20%26%20Data%20Management%20Policy.docx&amp;action=default&amp;mobileredirect=true" xr:uid="{83C2F8CC-68F1-4A35-8C37-B3998B8AC7AF}"/>
    <hyperlink ref="I37" r:id="rId143" xr:uid="{2078FEC4-1678-455E-92C3-EF8495DFBD2D}"/>
    <hyperlink ref="I38" r:id="rId144" xr:uid="{F67319D5-DB7A-40EB-937E-C91168051799}"/>
    <hyperlink ref="J38" r:id="rId145" xr:uid="{47B05AC2-5253-4DD4-ABF9-9903084769C0}"/>
    <hyperlink ref="J40" r:id="rId146" xr:uid="{AE7C1F17-D9BB-4A9C-AFB5-A9486A8DDAA0}"/>
    <hyperlink ref="K43" r:id="rId147" xr:uid="{10FAD382-7854-4A5C-9BF5-622DDD94CEB3}"/>
    <hyperlink ref="L50" r:id="rId148" xr:uid="{EA589F96-A9B2-457B-97A5-5BD6925142F4}"/>
  </hyperlinks>
  <pageMargins left="0.7" right="0.7" top="0.75" bottom="0.75" header="0.3" footer="0.3"/>
  <pageSetup paperSize="9" orientation="portrait" horizontalDpi="0" verticalDpi="0"/>
  <ignoredErrors>
    <ignoredError sqref="A24 A106 A96 A86 A71 A44 A34" numberStoredAsText="1"/>
  </ignoredErrors>
  <drawing r:id="rId149"/>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sheetPr>
  <dimension ref="A1:J130"/>
  <sheetViews>
    <sheetView zoomScale="133" workbookViewId="0">
      <pane ySplit="1" topLeftCell="J34" activePane="bottomLeft" state="frozen"/>
      <selection pane="bottomLeft" activeCell="J34" sqref="J34"/>
    </sheetView>
  </sheetViews>
  <sheetFormatPr defaultColWidth="8.85546875" defaultRowHeight="15"/>
  <cols>
    <col min="1" max="1" width="8.85546875" style="16"/>
    <col min="2" max="2" width="12.140625" customWidth="1"/>
    <col min="3" max="3" width="37.42578125" customWidth="1"/>
    <col min="4" max="4" width="31.140625" bestFit="1" customWidth="1"/>
    <col min="5" max="5" width="85" style="16" customWidth="1"/>
    <col min="6" max="6" width="89.7109375" style="16" bestFit="1" customWidth="1"/>
    <col min="7" max="7" width="19" style="16" customWidth="1"/>
    <col min="8" max="8" width="12.140625" style="16" customWidth="1"/>
    <col min="9" max="9" width="18.140625" style="16" customWidth="1"/>
    <col min="10" max="10" width="35.7109375" style="16" bestFit="1" customWidth="1"/>
    <col min="11" max="11" width="61" style="16" bestFit="1" customWidth="1"/>
    <col min="12" max="12" width="60" style="16" customWidth="1"/>
    <col min="13" max="13" width="55" style="16" customWidth="1"/>
    <col min="14" max="16384" width="8.85546875" style="16"/>
  </cols>
  <sheetData>
    <row r="1" spans="1:10" ht="15.95">
      <c r="A1" s="15" t="s">
        <v>356</v>
      </c>
      <c r="B1" s="1" t="s">
        <v>1154</v>
      </c>
      <c r="C1" s="2" t="s">
        <v>357</v>
      </c>
      <c r="D1" s="2" t="s">
        <v>1155</v>
      </c>
      <c r="E1" s="19" t="s">
        <v>1156</v>
      </c>
      <c r="F1" s="19" t="s">
        <v>1157</v>
      </c>
      <c r="G1" s="19" t="s">
        <v>1158</v>
      </c>
      <c r="H1" s="19" t="s">
        <v>1159</v>
      </c>
      <c r="I1" s="19" t="s">
        <v>1160</v>
      </c>
      <c r="J1" s="19" t="s">
        <v>1161</v>
      </c>
    </row>
    <row r="2" spans="1:10">
      <c r="A2" t="s">
        <v>370</v>
      </c>
      <c r="B2" t="s">
        <v>1162</v>
      </c>
      <c r="C2" t="str">
        <f>IF(A2="","", IFERROR(INDEX('Asset Register'!B:B, MATCH(A2, 'Asset Register'!A:A, 0)), ""))</f>
        <v>Client Data Contacts</v>
      </c>
      <c r="D2" t="s">
        <v>1163</v>
      </c>
      <c r="E2" s="16" t="s">
        <v>533</v>
      </c>
      <c r="F2" s="16" t="s">
        <v>534</v>
      </c>
      <c r="G2" s="16">
        <v>2</v>
      </c>
      <c r="H2" s="16">
        <v>3</v>
      </c>
      <c r="I2" s="16">
        <f t="shared" ref="I2:I29" si="0">$G2*$H2</f>
        <v>6</v>
      </c>
      <c r="J2" s="16" t="s">
        <v>337</v>
      </c>
    </row>
    <row r="3" spans="1:10">
      <c r="A3" t="s">
        <v>370</v>
      </c>
      <c r="B3" t="s">
        <v>1164</v>
      </c>
      <c r="C3" t="str">
        <f>IF(A3="","", IFERROR(INDEX('Asset Register'!B:B, MATCH(A3, 'Asset Register'!A:A, 0)), ""))</f>
        <v>Client Data Contacts</v>
      </c>
      <c r="D3" t="s">
        <v>1165</v>
      </c>
      <c r="E3" s="16" t="s">
        <v>551</v>
      </c>
      <c r="F3" s="16" t="s">
        <v>547</v>
      </c>
      <c r="G3" s="16">
        <v>2</v>
      </c>
      <c r="H3" s="16">
        <v>3</v>
      </c>
      <c r="I3" s="16">
        <f t="shared" si="0"/>
        <v>6</v>
      </c>
      <c r="J3" s="16" t="s">
        <v>337</v>
      </c>
    </row>
    <row r="4" spans="1:10">
      <c r="A4" t="s">
        <v>382</v>
      </c>
      <c r="B4" t="s">
        <v>1166</v>
      </c>
      <c r="C4" t="str">
        <f>IF(A4="","", IFERROR(INDEX('Asset Register'!B:B, MATCH(A4, 'Asset Register'!A:A, 0)), ""))</f>
        <v>Training VMs in Azure</v>
      </c>
      <c r="D4" t="s">
        <v>1165</v>
      </c>
      <c r="E4" s="16" t="s">
        <v>567</v>
      </c>
      <c r="F4" s="16" t="s">
        <v>561</v>
      </c>
      <c r="G4" s="16">
        <v>1</v>
      </c>
      <c r="H4" s="16">
        <v>2</v>
      </c>
      <c r="I4" s="16">
        <f t="shared" si="0"/>
        <v>2</v>
      </c>
      <c r="J4" s="16" t="s">
        <v>337</v>
      </c>
    </row>
    <row r="5" spans="1:10">
      <c r="A5" t="s">
        <v>382</v>
      </c>
      <c r="B5" t="s">
        <v>1167</v>
      </c>
      <c r="C5" t="str">
        <f>IF(A5="","", IFERROR(INDEX('Asset Register'!B:B, MATCH(A5, 'Asset Register'!A:A, 0)), ""))</f>
        <v>Training VMs in Azure</v>
      </c>
      <c r="D5" t="s">
        <v>1168</v>
      </c>
      <c r="E5" s="16" t="s">
        <v>570</v>
      </c>
      <c r="F5" s="16" t="s">
        <v>557</v>
      </c>
      <c r="G5" s="16">
        <v>2</v>
      </c>
      <c r="H5" s="16">
        <v>2</v>
      </c>
      <c r="I5" s="16">
        <f t="shared" si="0"/>
        <v>4</v>
      </c>
      <c r="J5" s="16" t="s">
        <v>337</v>
      </c>
    </row>
    <row r="6" spans="1:10">
      <c r="A6" t="s">
        <v>391</v>
      </c>
      <c r="B6" t="s">
        <v>1169</v>
      </c>
      <c r="C6" t="str">
        <f>IF(A6="","", IFERROR(INDEX('Asset Register'!B:B, MATCH(A6, 'Asset Register'!A:A, 0)), ""))</f>
        <v>Project Documentation</v>
      </c>
      <c r="D6" t="s">
        <v>1170</v>
      </c>
      <c r="E6" s="16" t="s">
        <v>572</v>
      </c>
      <c r="F6" s="16" t="s">
        <v>576</v>
      </c>
      <c r="G6" s="16">
        <v>2</v>
      </c>
      <c r="H6" s="16">
        <v>2</v>
      </c>
      <c r="I6" s="16">
        <f t="shared" si="0"/>
        <v>4</v>
      </c>
      <c r="J6" s="16" t="s">
        <v>337</v>
      </c>
    </row>
    <row r="7" spans="1:10">
      <c r="A7" t="s">
        <v>391</v>
      </c>
      <c r="B7" t="s">
        <v>1171</v>
      </c>
      <c r="C7" t="str">
        <f>IF(A7="","", IFERROR(INDEX('Asset Register'!B:B, MATCH(A7, 'Asset Register'!A:A, 0)), ""))</f>
        <v>Project Documentation</v>
      </c>
      <c r="D7" t="s">
        <v>1165</v>
      </c>
      <c r="E7" s="16" t="s">
        <v>581</v>
      </c>
      <c r="F7" s="16" t="s">
        <v>585</v>
      </c>
      <c r="G7" s="16">
        <v>2</v>
      </c>
      <c r="H7" s="16">
        <v>3</v>
      </c>
      <c r="I7" s="16">
        <f t="shared" si="0"/>
        <v>6</v>
      </c>
      <c r="J7" s="16" t="s">
        <v>337</v>
      </c>
    </row>
    <row r="8" spans="1:10">
      <c r="A8" t="s">
        <v>398</v>
      </c>
      <c r="B8" t="s">
        <v>1172</v>
      </c>
      <c r="C8" t="str">
        <f>IF(A8="","", IFERROR(INDEX('Asset Register'!B:B, MATCH(A8, 'Asset Register'!A:A, 0)), ""))</f>
        <v>Personal laptops used for work purpose</v>
      </c>
      <c r="D8" t="s">
        <v>1168</v>
      </c>
      <c r="E8" s="16" t="s">
        <v>586</v>
      </c>
      <c r="F8" s="16" t="s">
        <v>590</v>
      </c>
      <c r="G8" s="16">
        <v>3</v>
      </c>
      <c r="H8" s="16">
        <v>2</v>
      </c>
      <c r="I8" s="16">
        <f t="shared" si="0"/>
        <v>6</v>
      </c>
      <c r="J8" s="16" t="s">
        <v>337</v>
      </c>
    </row>
    <row r="9" spans="1:10">
      <c r="A9" t="s">
        <v>398</v>
      </c>
      <c r="B9" t="s">
        <v>1173</v>
      </c>
      <c r="C9" t="str">
        <f>IF(A9="","", IFERROR(INDEX('Asset Register'!B:B, MATCH(A9, 'Asset Register'!A:A, 0)), ""))</f>
        <v>Personal laptops used for work purpose</v>
      </c>
      <c r="D9" t="s">
        <v>1165</v>
      </c>
      <c r="E9" s="16" t="s">
        <v>589</v>
      </c>
      <c r="F9" s="16" t="s">
        <v>587</v>
      </c>
      <c r="G9" s="16">
        <v>3</v>
      </c>
      <c r="H9" s="16">
        <v>1</v>
      </c>
      <c r="I9" s="16">
        <f t="shared" si="0"/>
        <v>3</v>
      </c>
      <c r="J9" s="16" t="s">
        <v>337</v>
      </c>
    </row>
    <row r="10" spans="1:10">
      <c r="A10" t="s">
        <v>406</v>
      </c>
      <c r="B10" t="s">
        <v>1174</v>
      </c>
      <c r="C10" t="str">
        <f>IF(A10="","", IFERROR(INDEX('Asset Register'!B:B, MATCH(A10, 'Asset Register'!A:A, 0)), ""))</f>
        <v>Training Materials</v>
      </c>
      <c r="D10" t="s">
        <v>1165</v>
      </c>
      <c r="E10" s="16" t="s">
        <v>611</v>
      </c>
      <c r="F10" s="16" t="s">
        <v>608</v>
      </c>
      <c r="G10" s="16">
        <v>2</v>
      </c>
      <c r="H10" s="16">
        <v>3</v>
      </c>
      <c r="I10" s="16">
        <f t="shared" si="0"/>
        <v>6</v>
      </c>
      <c r="J10" s="16" t="s">
        <v>337</v>
      </c>
    </row>
    <row r="11" spans="1:10">
      <c r="A11" t="s">
        <v>406</v>
      </c>
      <c r="B11" t="s">
        <v>1175</v>
      </c>
      <c r="C11" t="str">
        <f>IF(A11="","", IFERROR(INDEX('Asset Register'!B:B, MATCH(A11, 'Asset Register'!A:A, 0)), ""))</f>
        <v>Training Materials</v>
      </c>
      <c r="D11" t="s">
        <v>1168</v>
      </c>
      <c r="E11" s="16" t="s">
        <v>607</v>
      </c>
      <c r="F11" s="16" t="s">
        <v>605</v>
      </c>
      <c r="G11" s="16">
        <v>2</v>
      </c>
      <c r="H11" s="16">
        <v>3</v>
      </c>
      <c r="I11" s="16">
        <f t="shared" si="0"/>
        <v>6</v>
      </c>
      <c r="J11" s="16" t="s">
        <v>337</v>
      </c>
    </row>
    <row r="12" spans="1:10">
      <c r="A12" t="s">
        <v>409</v>
      </c>
      <c r="B12" t="s">
        <v>1176</v>
      </c>
      <c r="C12" t="str">
        <f>IF(A12="","", IFERROR(INDEX('Asset Register'!B:B, MATCH(A12, 'Asset Register'!A:A, 0)), ""))</f>
        <v>Internal Documents</v>
      </c>
      <c r="D12" t="s">
        <v>1168</v>
      </c>
      <c r="E12" s="16" t="s">
        <v>616</v>
      </c>
      <c r="F12" s="16" t="s">
        <v>621</v>
      </c>
      <c r="G12" s="16">
        <v>1</v>
      </c>
      <c r="H12" s="16">
        <v>2</v>
      </c>
      <c r="I12" s="16">
        <f t="shared" si="0"/>
        <v>2</v>
      </c>
      <c r="J12" s="16" t="s">
        <v>337</v>
      </c>
    </row>
    <row r="13" spans="1:10">
      <c r="A13" t="s">
        <v>409</v>
      </c>
      <c r="B13" t="s">
        <v>1177</v>
      </c>
      <c r="C13" t="str">
        <f>IF(A13="","", IFERROR(INDEX('Asset Register'!B:B, MATCH(A13, 'Asset Register'!A:A, 0)), ""))</f>
        <v>Internal Documents</v>
      </c>
      <c r="D13" t="s">
        <v>1165</v>
      </c>
      <c r="E13" s="16" t="s">
        <v>620</v>
      </c>
      <c r="F13" s="16" t="s">
        <v>619</v>
      </c>
      <c r="G13" s="16">
        <v>1</v>
      </c>
      <c r="H13" s="16">
        <v>3</v>
      </c>
      <c r="I13" s="16">
        <f t="shared" si="0"/>
        <v>3</v>
      </c>
      <c r="J13" s="16" t="s">
        <v>337</v>
      </c>
    </row>
    <row r="14" spans="1:10">
      <c r="A14" t="s">
        <v>418</v>
      </c>
      <c r="B14" t="s">
        <v>1178</v>
      </c>
      <c r="C14" t="str">
        <f>IF(A14="","", IFERROR(INDEX('Asset Register'!B:B, MATCH(A14, 'Asset Register'!A:A, 0)), ""))</f>
        <v>Internal Tracker and Audit Documents</v>
      </c>
      <c r="D14" t="s">
        <v>1165</v>
      </c>
      <c r="E14" s="16" t="s">
        <v>624</v>
      </c>
      <c r="F14" s="16" t="s">
        <v>627</v>
      </c>
      <c r="G14" s="16">
        <v>2</v>
      </c>
      <c r="H14" s="16">
        <v>3</v>
      </c>
      <c r="I14" s="16">
        <f t="shared" si="0"/>
        <v>6</v>
      </c>
      <c r="J14" s="16" t="s">
        <v>337</v>
      </c>
    </row>
    <row r="15" spans="1:10">
      <c r="A15" t="s">
        <v>418</v>
      </c>
      <c r="B15" t="s">
        <v>1179</v>
      </c>
      <c r="C15" t="str">
        <f>IF(A15="","", IFERROR(INDEX('Asset Register'!B:B, MATCH(A15, 'Asset Register'!A:A, 0)), ""))</f>
        <v>Internal Tracker and Audit Documents</v>
      </c>
      <c r="D15" t="s">
        <v>1168</v>
      </c>
      <c r="E15" s="16" t="s">
        <v>629</v>
      </c>
      <c r="F15" s="16" t="s">
        <v>631</v>
      </c>
      <c r="G15" s="16">
        <v>1</v>
      </c>
      <c r="H15" s="16">
        <v>3</v>
      </c>
      <c r="I15" s="16">
        <f t="shared" si="0"/>
        <v>3</v>
      </c>
      <c r="J15" s="16" t="s">
        <v>337</v>
      </c>
    </row>
    <row r="16" spans="1:10">
      <c r="A16" t="s">
        <v>424</v>
      </c>
      <c r="B16" t="s">
        <v>1180</v>
      </c>
      <c r="C16" t="str">
        <f>IF(A16="","", IFERROR(INDEX('Asset Register'!B:B, MATCH(A16, 'Asset Register'!A:A, 0)), ""))</f>
        <v>Company Website</v>
      </c>
      <c r="D16" t="s">
        <v>1168</v>
      </c>
      <c r="E16" s="16" t="s">
        <v>632</v>
      </c>
      <c r="F16" s="16" t="s">
        <v>636</v>
      </c>
      <c r="G16" s="16">
        <v>1</v>
      </c>
      <c r="H16" s="16">
        <v>3</v>
      </c>
      <c r="I16" s="16">
        <f t="shared" si="0"/>
        <v>3</v>
      </c>
      <c r="J16" s="16" t="s">
        <v>337</v>
      </c>
    </row>
    <row r="17" spans="1:10">
      <c r="A17" t="s">
        <v>424</v>
      </c>
      <c r="B17" t="s">
        <v>1181</v>
      </c>
      <c r="C17" t="str">
        <f>IF(A17="","", IFERROR(INDEX('Asset Register'!B:B, MATCH(A17, 'Asset Register'!A:A, 0)), ""))</f>
        <v>Company Website</v>
      </c>
      <c r="D17" t="s">
        <v>1165</v>
      </c>
      <c r="E17" s="16" t="s">
        <v>635</v>
      </c>
      <c r="F17" s="16" t="s">
        <v>639</v>
      </c>
      <c r="G17" s="16">
        <v>2</v>
      </c>
      <c r="H17" s="16">
        <v>1</v>
      </c>
      <c r="I17" s="16">
        <f t="shared" si="0"/>
        <v>2</v>
      </c>
      <c r="J17" s="16" t="s">
        <v>337</v>
      </c>
    </row>
    <row r="18" spans="1:10">
      <c r="A18" t="s">
        <v>432</v>
      </c>
      <c r="B18" t="s">
        <v>1182</v>
      </c>
      <c r="C18" t="str">
        <f>IF(A18="","", IFERROR(INDEX('Asset Register'!B:B, MATCH(A18, 'Asset Register'!A:A, 0)), ""))</f>
        <v>Contractors</v>
      </c>
      <c r="D18" t="s">
        <v>1168</v>
      </c>
      <c r="E18" s="16" t="s">
        <v>643</v>
      </c>
      <c r="F18" s="16" t="s">
        <v>647</v>
      </c>
      <c r="G18" s="16">
        <v>2</v>
      </c>
      <c r="H18" s="16">
        <v>2</v>
      </c>
      <c r="I18" s="16">
        <f t="shared" si="0"/>
        <v>4</v>
      </c>
      <c r="J18" s="16" t="s">
        <v>337</v>
      </c>
    </row>
    <row r="19" spans="1:10" ht="32.1">
      <c r="A19" t="s">
        <v>432</v>
      </c>
      <c r="B19" t="s">
        <v>1183</v>
      </c>
      <c r="C19" t="str">
        <f>IF(A19="","", IFERROR(INDEX('Asset Register'!B:B, MATCH(A19, 'Asset Register'!A:A, 0)), ""))</f>
        <v>Contractors</v>
      </c>
      <c r="D19" t="s">
        <v>1165</v>
      </c>
      <c r="E19" s="16" t="s">
        <v>646</v>
      </c>
      <c r="F19" s="199" t="s">
        <v>650</v>
      </c>
      <c r="G19" s="16">
        <v>2</v>
      </c>
      <c r="H19" s="16">
        <v>3</v>
      </c>
      <c r="I19" s="16">
        <f t="shared" si="0"/>
        <v>6</v>
      </c>
      <c r="J19" s="16" t="s">
        <v>337</v>
      </c>
    </row>
    <row r="20" spans="1:10">
      <c r="A20" t="s">
        <v>439</v>
      </c>
      <c r="B20" t="s">
        <v>1184</v>
      </c>
      <c r="C20" t="str">
        <f>IF(A20="","", IFERROR(INDEX('Asset Register'!B:B, MATCH(A20, 'Asset Register'!A:A, 0)), ""))</f>
        <v>Employees</v>
      </c>
      <c r="D20" t="s">
        <v>1165</v>
      </c>
      <c r="E20" s="16" t="s">
        <v>654</v>
      </c>
      <c r="F20" s="16" t="s">
        <v>657</v>
      </c>
      <c r="G20" s="16">
        <v>2</v>
      </c>
      <c r="H20" s="16">
        <v>3</v>
      </c>
      <c r="I20" s="16">
        <f t="shared" si="0"/>
        <v>6</v>
      </c>
      <c r="J20" s="16" t="s">
        <v>337</v>
      </c>
    </row>
    <row r="21" spans="1:10">
      <c r="A21" t="s">
        <v>439</v>
      </c>
      <c r="B21" t="s">
        <v>1185</v>
      </c>
      <c r="C21" t="str">
        <f>IF(A21="","", IFERROR(INDEX('Asset Register'!B:B, MATCH(A21, 'Asset Register'!A:A, 0)), ""))</f>
        <v>Employees</v>
      </c>
      <c r="D21" t="s">
        <v>1165</v>
      </c>
      <c r="E21" s="16" t="s">
        <v>656</v>
      </c>
      <c r="F21" s="16" t="s">
        <v>652</v>
      </c>
      <c r="G21" s="16">
        <v>3</v>
      </c>
      <c r="H21" s="16">
        <v>2</v>
      </c>
      <c r="I21" s="16">
        <f t="shared" si="0"/>
        <v>6</v>
      </c>
      <c r="J21" s="16" t="s">
        <v>337</v>
      </c>
    </row>
    <row r="22" spans="1:10">
      <c r="A22" t="s">
        <v>444</v>
      </c>
      <c r="B22" t="s">
        <v>1186</v>
      </c>
      <c r="C22" t="str">
        <f>IF(A22="","", IFERROR(INDEX('Asset Register'!B:B, MATCH(A22, 'Asset Register'!A:A, 0)), ""))</f>
        <v>Personal phones used for work purpose</v>
      </c>
      <c r="D22" t="s">
        <v>1168</v>
      </c>
      <c r="E22" s="16" t="s">
        <v>661</v>
      </c>
      <c r="F22" s="16" t="s">
        <v>662</v>
      </c>
      <c r="G22" s="16">
        <v>3</v>
      </c>
      <c r="H22" s="16">
        <v>1</v>
      </c>
      <c r="I22" s="16">
        <f t="shared" si="0"/>
        <v>3</v>
      </c>
      <c r="J22" s="16" t="s">
        <v>337</v>
      </c>
    </row>
    <row r="23" spans="1:10">
      <c r="A23" t="s">
        <v>444</v>
      </c>
      <c r="B23" t="s">
        <v>1187</v>
      </c>
      <c r="C23" t="str">
        <f>IF(A23="","", IFERROR(INDEX('Asset Register'!B:B, MATCH(A23, 'Asset Register'!A:A, 0)), ""))</f>
        <v>Personal phones used for work purpose</v>
      </c>
      <c r="D23" t="s">
        <v>1165</v>
      </c>
      <c r="E23" s="16" t="s">
        <v>664</v>
      </c>
      <c r="F23" s="16" t="s">
        <v>665</v>
      </c>
      <c r="G23" s="16">
        <v>1</v>
      </c>
      <c r="H23" s="16">
        <v>2</v>
      </c>
      <c r="I23" s="16">
        <f t="shared" si="0"/>
        <v>2</v>
      </c>
      <c r="J23" s="16" t="s">
        <v>337</v>
      </c>
    </row>
    <row r="24" spans="1:10">
      <c r="A24" t="s">
        <v>449</v>
      </c>
      <c r="B24" t="s">
        <v>1188</v>
      </c>
      <c r="C24" t="str">
        <f>IF(A24="","", IFERROR(INDEX('Asset Register'!B:B, MATCH(A24, 'Asset Register'!A:A, 0)), ""))</f>
        <v>Odoo Platform</v>
      </c>
      <c r="D24" t="s">
        <v>1168</v>
      </c>
      <c r="E24" s="16" t="s">
        <v>670</v>
      </c>
      <c r="F24" s="16" t="s">
        <v>671</v>
      </c>
      <c r="G24" s="16">
        <v>1</v>
      </c>
      <c r="H24" s="16">
        <v>3</v>
      </c>
      <c r="I24" s="16">
        <f t="shared" si="0"/>
        <v>3</v>
      </c>
      <c r="J24" s="16" t="s">
        <v>337</v>
      </c>
    </row>
    <row r="25" spans="1:10">
      <c r="A25" t="s">
        <v>449</v>
      </c>
      <c r="B25" t="s">
        <v>1189</v>
      </c>
      <c r="C25" t="str">
        <f>IF(A25="","", IFERROR(INDEX('Asset Register'!B:B, MATCH(A25, 'Asset Register'!A:A, 0)), ""))</f>
        <v>Odoo Platform</v>
      </c>
      <c r="D25" t="s">
        <v>1165</v>
      </c>
      <c r="E25" s="16" t="s">
        <v>673</v>
      </c>
      <c r="F25" s="16" t="s">
        <v>676</v>
      </c>
      <c r="G25" s="16">
        <v>2</v>
      </c>
      <c r="H25" s="16">
        <v>3</v>
      </c>
      <c r="I25" s="16">
        <f t="shared" si="0"/>
        <v>6</v>
      </c>
      <c r="J25" s="16" t="s">
        <v>337</v>
      </c>
    </row>
    <row r="26" spans="1:10">
      <c r="A26" t="s">
        <v>455</v>
      </c>
      <c r="B26" t="s">
        <v>1190</v>
      </c>
      <c r="C26" t="str">
        <f>IF(A26="","", IFERROR(INDEX('Asset Register'!B:B, MATCH(A26, 'Asset Register'!A:A, 0)), ""))</f>
        <v>Azure Cloud Services</v>
      </c>
      <c r="D26" t="s">
        <v>1165</v>
      </c>
      <c r="E26" s="16" t="s">
        <v>677</v>
      </c>
      <c r="F26" s="16" t="s">
        <v>678</v>
      </c>
      <c r="G26" s="16">
        <v>1</v>
      </c>
      <c r="H26" s="16">
        <v>3</v>
      </c>
      <c r="I26" s="16">
        <f t="shared" si="0"/>
        <v>3</v>
      </c>
      <c r="J26" s="16" t="s">
        <v>337</v>
      </c>
    </row>
    <row r="27" spans="1:10">
      <c r="A27" t="s">
        <v>455</v>
      </c>
      <c r="B27" t="s">
        <v>1191</v>
      </c>
      <c r="C27" t="str">
        <f>IF(A27="","", IFERROR(INDEX('Asset Register'!B:B, MATCH(A27, 'Asset Register'!A:A, 0)), ""))</f>
        <v>Azure Cloud Services</v>
      </c>
      <c r="D27" t="s">
        <v>1192</v>
      </c>
      <c r="E27" s="16" t="s">
        <v>685</v>
      </c>
      <c r="F27" s="16" t="s">
        <v>686</v>
      </c>
      <c r="G27" s="16">
        <v>2</v>
      </c>
      <c r="H27" s="16">
        <v>2</v>
      </c>
      <c r="I27" s="16">
        <f t="shared" si="0"/>
        <v>4</v>
      </c>
      <c r="J27" s="16" t="s">
        <v>337</v>
      </c>
    </row>
    <row r="28" spans="1:10">
      <c r="A28" t="s">
        <v>460</v>
      </c>
      <c r="B28" t="s">
        <v>1193</v>
      </c>
      <c r="C28" t="str">
        <f>IF(A28="","", IFERROR(INDEX('Asset Register'!B:B, MATCH(A28, 'Asset Register'!A:A, 0)), ""))</f>
        <v>Microsoft 365 &amp; SharePoint</v>
      </c>
      <c r="D28" t="s">
        <v>1168</v>
      </c>
      <c r="E28" s="16" t="s">
        <v>691</v>
      </c>
      <c r="F28" s="16" t="s">
        <v>689</v>
      </c>
      <c r="G28" s="16">
        <v>3</v>
      </c>
      <c r="H28" s="16">
        <v>1</v>
      </c>
      <c r="I28" s="16">
        <f t="shared" si="0"/>
        <v>3</v>
      </c>
      <c r="J28" s="16" t="s">
        <v>337</v>
      </c>
    </row>
    <row r="29" spans="1:10">
      <c r="A29" t="s">
        <v>460</v>
      </c>
      <c r="B29" t="s">
        <v>1194</v>
      </c>
      <c r="C29" t="str">
        <f>IF(A29="","", IFERROR(INDEX('Asset Register'!B:B, MATCH(A29, 'Asset Register'!A:A, 0)), ""))</f>
        <v>Microsoft 365 &amp; SharePoint</v>
      </c>
      <c r="D29" t="s">
        <v>1165</v>
      </c>
      <c r="E29" s="16" t="s">
        <v>694</v>
      </c>
      <c r="F29" s="16" t="s">
        <v>692</v>
      </c>
      <c r="G29" s="16">
        <v>3</v>
      </c>
      <c r="H29" s="16">
        <v>2</v>
      </c>
      <c r="I29" s="16">
        <f t="shared" si="0"/>
        <v>6</v>
      </c>
      <c r="J29" s="16" t="s">
        <v>337</v>
      </c>
    </row>
    <row r="30" spans="1:10" ht="32.1">
      <c r="A30" s="21" t="s">
        <v>466</v>
      </c>
      <c r="B30" t="s">
        <v>1195</v>
      </c>
      <c r="C30" s="28" t="str">
        <f>IF(A30="","", IFERROR(INDEX('Asset Register'!B:B, MATCH(A30, 'Asset Register'!A:A, 0)), ""))</f>
        <v>Microsoft 365 &amp; SharePoint, Azure and OneDrive</v>
      </c>
      <c r="D30" s="28" t="s">
        <v>1165</v>
      </c>
      <c r="E30" s="199" t="s">
        <v>697</v>
      </c>
      <c r="F30" s="199" t="s">
        <v>1196</v>
      </c>
      <c r="G30" s="16">
        <v>3</v>
      </c>
      <c r="H30" s="16">
        <v>2</v>
      </c>
      <c r="I30" s="16">
        <f>$G30*$H30</f>
        <v>6</v>
      </c>
      <c r="J30" s="16" t="s">
        <v>337</v>
      </c>
    </row>
    <row r="31" spans="1:10">
      <c r="A31" s="21" t="s">
        <v>470</v>
      </c>
      <c r="B31" t="s">
        <v>1197</v>
      </c>
      <c r="C31" t="s">
        <v>1198</v>
      </c>
      <c r="D31" t="s">
        <v>1199</v>
      </c>
      <c r="E31" s="16" t="s">
        <v>705</v>
      </c>
      <c r="F31" s="16" t="s">
        <v>702</v>
      </c>
      <c r="G31" s="16">
        <v>2</v>
      </c>
      <c r="H31" s="16">
        <v>3</v>
      </c>
      <c r="I31" s="16">
        <f t="shared" ref="I31:I36" si="1">$G31*$H31</f>
        <v>6</v>
      </c>
      <c r="J31" s="16" t="s">
        <v>349</v>
      </c>
    </row>
    <row r="32" spans="1:10">
      <c r="A32" s="21" t="s">
        <v>478</v>
      </c>
      <c r="B32" t="s">
        <v>1200</v>
      </c>
      <c r="C32" t="s">
        <v>1201</v>
      </c>
      <c r="D32" t="s">
        <v>1202</v>
      </c>
      <c r="E32" s="16" t="s">
        <v>701</v>
      </c>
      <c r="F32" s="16" t="s">
        <v>706</v>
      </c>
      <c r="G32" s="16">
        <v>1</v>
      </c>
      <c r="H32" s="16">
        <v>2</v>
      </c>
      <c r="I32" s="16">
        <f t="shared" si="1"/>
        <v>2</v>
      </c>
      <c r="J32" s="16" t="s">
        <v>349</v>
      </c>
    </row>
    <row r="33" spans="1:10">
      <c r="A33" s="21" t="s">
        <v>483</v>
      </c>
      <c r="B33" t="s">
        <v>1203</v>
      </c>
      <c r="C33" t="s">
        <v>467</v>
      </c>
      <c r="D33" t="s">
        <v>1168</v>
      </c>
      <c r="E33" s="16" t="s">
        <v>679</v>
      </c>
      <c r="F33" s="16" t="s">
        <v>647</v>
      </c>
      <c r="G33" s="16">
        <v>1</v>
      </c>
      <c r="H33" s="16">
        <v>3</v>
      </c>
      <c r="I33" s="16">
        <f t="shared" si="1"/>
        <v>3</v>
      </c>
      <c r="J33" s="16" t="s">
        <v>337</v>
      </c>
    </row>
    <row r="34" spans="1:10">
      <c r="A34" s="21" t="s">
        <v>488</v>
      </c>
      <c r="B34" t="s">
        <v>1204</v>
      </c>
      <c r="C34" t="str">
        <f>IF(A34="","", IFERROR(INDEX('Asset Register'!B:B, MATCH(A34, 'Asset Register'!A:A, 0)), ""))</f>
        <v>Financial data</v>
      </c>
      <c r="D34" t="s">
        <v>1168</v>
      </c>
      <c r="E34" s="16" t="s">
        <v>714</v>
      </c>
      <c r="F34" s="16" t="s">
        <v>706</v>
      </c>
      <c r="G34" s="16">
        <v>1</v>
      </c>
      <c r="H34" s="16">
        <v>3</v>
      </c>
      <c r="I34" s="16">
        <f t="shared" si="1"/>
        <v>3</v>
      </c>
      <c r="J34" s="16" t="s">
        <v>637</v>
      </c>
    </row>
    <row r="35" spans="1:10">
      <c r="A35" s="21" t="s">
        <v>495</v>
      </c>
      <c r="B35" t="s">
        <v>1205</v>
      </c>
      <c r="C35" t="str">
        <f>IF(A35="","", IFERROR(INDEX('Asset Register'!B:B, MATCH(A35, 'Asset Register'!A:A, 0)), ""))</f>
        <v>Private Information</v>
      </c>
      <c r="D35" t="s">
        <v>1168</v>
      </c>
      <c r="E35" s="16" t="s">
        <v>715</v>
      </c>
      <c r="F35" s="16" t="s">
        <v>710</v>
      </c>
      <c r="G35" s="16">
        <v>2</v>
      </c>
      <c r="H35" s="16">
        <v>1</v>
      </c>
      <c r="I35" s="16">
        <f t="shared" si="1"/>
        <v>2</v>
      </c>
      <c r="J35" s="16" t="s">
        <v>637</v>
      </c>
    </row>
    <row r="36" spans="1:10">
      <c r="A36" s="21" t="s">
        <v>495</v>
      </c>
      <c r="B36" t="s">
        <v>1206</v>
      </c>
      <c r="C36" t="str">
        <f>IF(A36="","", IFERROR(INDEX('Asset Register'!B:B, MATCH(A36, 'Asset Register'!A:A, 0)), ""))</f>
        <v>Private Information</v>
      </c>
      <c r="D36" t="s">
        <v>1168</v>
      </c>
      <c r="E36" s="16" t="s">
        <v>717</v>
      </c>
      <c r="F36" s="16" t="s">
        <v>706</v>
      </c>
      <c r="G36" s="16">
        <v>1</v>
      </c>
      <c r="H36" s="16">
        <v>3</v>
      </c>
      <c r="I36" s="16">
        <f t="shared" si="1"/>
        <v>3</v>
      </c>
      <c r="J36" s="16" t="s">
        <v>637</v>
      </c>
    </row>
    <row r="37" spans="1:10">
      <c r="A37" s="21"/>
      <c r="C37" t="str">
        <f>IF(A37="","", IFERROR(INDEX('Asset Register'!B:B, MATCH(A37, 'Asset Register'!A:A, 0)), ""))</f>
        <v/>
      </c>
    </row>
    <row r="38" spans="1:10">
      <c r="A38" s="21"/>
      <c r="C38" t="str">
        <f>IF(A38="","", IFERROR(INDEX('Asset Register'!B:B, MATCH(A38, 'Asset Register'!A:A, 0)), ""))</f>
        <v/>
      </c>
    </row>
    <row r="39" spans="1:10">
      <c r="C39" t="str">
        <f>IF(A39="","", IFERROR(INDEX('Asset Register'!B:B, MATCH(A39, 'Asset Register'!A:A, 0)), ""))</f>
        <v/>
      </c>
    </row>
    <row r="40" spans="1:10">
      <c r="C40" t="str">
        <f>IF(A40="","", IFERROR(INDEX('Asset Register'!B:B, MATCH(A40, 'Asset Register'!A:A, 0)), ""))</f>
        <v/>
      </c>
    </row>
    <row r="41" spans="1:10">
      <c r="C41" t="str">
        <f>IF(A41="","", IFERROR(INDEX('Asset Register'!B:B, MATCH(A41, 'Asset Register'!A:A, 0)), ""))</f>
        <v/>
      </c>
    </row>
    <row r="43" spans="1:10">
      <c r="C43" t="str">
        <f>IF(A43="","", IFERROR(INDEX('Asset Register'!B:B, MATCH(A43, 'Asset Register'!A:A, 0)), ""))</f>
        <v/>
      </c>
    </row>
    <row r="44" spans="1:10">
      <c r="C44" t="str">
        <f>IF(A44="","", IFERROR(INDEX('Asset Register'!B:B, MATCH(A44, 'Asset Register'!A:A, 0)), ""))</f>
        <v/>
      </c>
    </row>
    <row r="45" spans="1:10">
      <c r="C45" t="str">
        <f>IF(A45="","", IFERROR(INDEX('Asset Register'!B:B, MATCH(A45, 'Asset Register'!A:A, 0)), ""))</f>
        <v/>
      </c>
    </row>
    <row r="46" spans="1:10">
      <c r="C46" t="str">
        <f>IF(A46="","", IFERROR(INDEX('Asset Register'!B:B, MATCH(A46, 'Asset Register'!A:A, 0)), ""))</f>
        <v/>
      </c>
    </row>
    <row r="47" spans="1:10">
      <c r="C47" t="str">
        <f>IF(A47="","", IFERROR(INDEX('Asset Register'!B:B, MATCH(A47, 'Asset Register'!A:A, 0)), ""))</f>
        <v/>
      </c>
    </row>
    <row r="48" spans="1:10">
      <c r="C48" t="str">
        <f>IF(A48="","", IFERROR(INDEX('Asset Register'!B:B, MATCH(A48, 'Asset Register'!A:A, 0)), ""))</f>
        <v/>
      </c>
    </row>
    <row r="49" spans="3:3">
      <c r="C49" t="str">
        <f>IF(A49="","", IFERROR(INDEX('Asset Register'!B:B, MATCH(A49, 'Asset Register'!A:A, 0)), ""))</f>
        <v/>
      </c>
    </row>
    <row r="50" spans="3:3">
      <c r="C50" t="str">
        <f>IF(A50="","", IFERROR(INDEX('Asset Register'!B:B, MATCH(A50, 'Asset Register'!A:A, 0)), ""))</f>
        <v/>
      </c>
    </row>
    <row r="51" spans="3:3">
      <c r="C51" t="str">
        <f>IF(A51="","", IFERROR(INDEX('Asset Register'!B:B, MATCH(A51, 'Asset Register'!A:A, 0)), ""))</f>
        <v/>
      </c>
    </row>
    <row r="52" spans="3:3">
      <c r="C52" t="str">
        <f>IF(A52="","", IFERROR(INDEX('Asset Register'!B:B, MATCH(A52, 'Asset Register'!A:A, 0)), ""))</f>
        <v/>
      </c>
    </row>
    <row r="53" spans="3:3">
      <c r="C53" t="str">
        <f>IF(A53="","", IFERROR(INDEX('Asset Register'!B:B, MATCH(A53, 'Asset Register'!A:A, 0)), ""))</f>
        <v/>
      </c>
    </row>
    <row r="54" spans="3:3">
      <c r="C54" t="str">
        <f>IF(A54="","", IFERROR(INDEX('Asset Register'!B:B, MATCH(A54, 'Asset Register'!A:A, 0)), ""))</f>
        <v/>
      </c>
    </row>
    <row r="55" spans="3:3">
      <c r="C55" t="str">
        <f>IF(A55="","", IFERROR(INDEX('Asset Register'!B:B, MATCH(A55, 'Asset Register'!A:A, 0)), ""))</f>
        <v/>
      </c>
    </row>
    <row r="56" spans="3:3">
      <c r="C56" t="str">
        <f>IF(A56="","", IFERROR(INDEX('Asset Register'!B:B, MATCH(A56, 'Asset Register'!A:A, 0)), ""))</f>
        <v/>
      </c>
    </row>
    <row r="57" spans="3:3">
      <c r="C57" t="str">
        <f>IF(A57="","", IFERROR(INDEX('Asset Register'!B:B, MATCH(A57, 'Asset Register'!A:A, 0)), ""))</f>
        <v/>
      </c>
    </row>
    <row r="58" spans="3:3">
      <c r="C58" t="str">
        <f>IF(A58="","", IFERROR(INDEX('Asset Register'!B:B, MATCH(A58, 'Asset Register'!A:A, 0)), ""))</f>
        <v/>
      </c>
    </row>
    <row r="59" spans="3:3">
      <c r="C59" t="str">
        <f>IF(A59="","", IFERROR(INDEX('Asset Register'!B:B, MATCH(A59, 'Asset Register'!A:A, 0)), ""))</f>
        <v/>
      </c>
    </row>
    <row r="60" spans="3:3">
      <c r="C60" t="str">
        <f>IF(A60="","", IFERROR(INDEX('Asset Register'!B:B, MATCH(A60, 'Asset Register'!A:A, 0)), ""))</f>
        <v/>
      </c>
    </row>
    <row r="61" spans="3:3">
      <c r="C61" t="str">
        <f>IF(A61="","", IFERROR(INDEX('Asset Register'!B:B, MATCH(A61, 'Asset Register'!A:A, 0)), ""))</f>
        <v/>
      </c>
    </row>
    <row r="62" spans="3:3">
      <c r="C62" t="str">
        <f>IF(A62="","", IFERROR(INDEX('Asset Register'!B:B, MATCH(A62, 'Asset Register'!A:A, 0)), ""))</f>
        <v/>
      </c>
    </row>
    <row r="63" spans="3:3">
      <c r="C63" t="str">
        <f>IF(A63="","", IFERROR(INDEX('Asset Register'!B:B, MATCH(A63, 'Asset Register'!A:A, 0)), ""))</f>
        <v/>
      </c>
    </row>
    <row r="64" spans="3:3">
      <c r="C64" t="str">
        <f>IF(A64="","", IFERROR(INDEX('Asset Register'!B:B, MATCH(A64, 'Asset Register'!A:A, 0)), ""))</f>
        <v/>
      </c>
    </row>
    <row r="65" spans="3:3">
      <c r="C65" t="str">
        <f>IF(A65="","", IFERROR(INDEX('Asset Register'!B:B, MATCH(A65, 'Asset Register'!A:A, 0)), ""))</f>
        <v/>
      </c>
    </row>
    <row r="66" spans="3:3">
      <c r="C66" t="str">
        <f>IF(A66="","", IFERROR(INDEX('Asset Register'!B:B, MATCH(A66, 'Asset Register'!A:A, 0)), ""))</f>
        <v/>
      </c>
    </row>
    <row r="67" spans="3:3">
      <c r="C67" t="str">
        <f>IF(A67="","", IFERROR(INDEX('Asset Register'!B:B, MATCH(A67, 'Asset Register'!A:A, 0)), ""))</f>
        <v/>
      </c>
    </row>
    <row r="68" spans="3:3">
      <c r="C68" t="str">
        <f>IF(A68="","", IFERROR(INDEX('Asset Register'!B:B, MATCH(A68, 'Asset Register'!A:A, 0)), ""))</f>
        <v/>
      </c>
    </row>
    <row r="69" spans="3:3">
      <c r="C69" t="str">
        <f>IF(A69="","", IFERROR(INDEX('Asset Register'!B:B, MATCH(A69, 'Asset Register'!A:A, 0)), ""))</f>
        <v/>
      </c>
    </row>
    <row r="70" spans="3:3">
      <c r="C70" t="str">
        <f>IF(A70="","", IFERROR(INDEX('Asset Register'!B:B, MATCH(A70, 'Asset Register'!A:A, 0)), ""))</f>
        <v/>
      </c>
    </row>
    <row r="71" spans="3:3">
      <c r="C71" t="str">
        <f>IF(A71="","", IFERROR(INDEX('Asset Register'!B:B, MATCH(A71, 'Asset Register'!A:A, 0)), ""))</f>
        <v/>
      </c>
    </row>
    <row r="72" spans="3:3">
      <c r="C72" t="str">
        <f>IF(A72="","", IFERROR(INDEX('Asset Register'!B:B, MATCH(A72, 'Asset Register'!A:A, 0)), ""))</f>
        <v/>
      </c>
    </row>
    <row r="73" spans="3:3">
      <c r="C73" t="str">
        <f>IF(A73="","", IFERROR(INDEX('Asset Register'!B:B, MATCH(A73, 'Asset Register'!A:A, 0)), ""))</f>
        <v/>
      </c>
    </row>
    <row r="74" spans="3:3">
      <c r="C74" t="str">
        <f>IF(A74="","", IFERROR(INDEX('Asset Register'!B:B, MATCH(A74, 'Asset Register'!A:A, 0)), ""))</f>
        <v/>
      </c>
    </row>
    <row r="75" spans="3:3">
      <c r="C75" t="str">
        <f>IF(A75="","", IFERROR(INDEX('Asset Register'!B:B, MATCH(A75, 'Asset Register'!A:A, 0)), ""))</f>
        <v/>
      </c>
    </row>
    <row r="76" spans="3:3">
      <c r="C76" t="str">
        <f>IF(A76="","", IFERROR(INDEX('Asset Register'!B:B, MATCH(A76, 'Asset Register'!A:A, 0)), ""))</f>
        <v/>
      </c>
    </row>
    <row r="77" spans="3:3">
      <c r="C77" t="str">
        <f>IF(A77="","", IFERROR(INDEX('Asset Register'!B:B, MATCH(A77, 'Asset Register'!A:A, 0)), ""))</f>
        <v/>
      </c>
    </row>
    <row r="78" spans="3:3">
      <c r="C78" t="str">
        <f>IF(A78="","", IFERROR(INDEX('Asset Register'!B:B, MATCH(A78, 'Asset Register'!A:A, 0)), ""))</f>
        <v/>
      </c>
    </row>
    <row r="79" spans="3:3">
      <c r="C79" t="str">
        <f>IF(A79="","", IFERROR(INDEX('Asset Register'!B:B, MATCH(A79, 'Asset Register'!A:A, 0)), ""))</f>
        <v/>
      </c>
    </row>
    <row r="80" spans="3:3">
      <c r="C80" t="str">
        <f>IF(A80="","", IFERROR(INDEX('Asset Register'!B:B, MATCH(A80, 'Asset Register'!A:A, 0)), ""))</f>
        <v/>
      </c>
    </row>
    <row r="81" spans="3:3">
      <c r="C81" t="str">
        <f>IF(A81="","", IFERROR(INDEX('Asset Register'!B:B, MATCH(A81, 'Asset Register'!A:A, 0)), ""))</f>
        <v/>
      </c>
    </row>
    <row r="82" spans="3:3">
      <c r="C82" t="str">
        <f>IF(A82="","", IFERROR(INDEX('Asset Register'!B:B, MATCH(A82, 'Asset Register'!A:A, 0)), ""))</f>
        <v/>
      </c>
    </row>
    <row r="83" spans="3:3">
      <c r="C83" t="str">
        <f>IF(A83="","", IFERROR(INDEX('Asset Register'!B:B, MATCH(A83, 'Asset Register'!A:A, 0)), ""))</f>
        <v/>
      </c>
    </row>
    <row r="84" spans="3:3">
      <c r="C84" t="str">
        <f>IF(A84="","", IFERROR(INDEX('Asset Register'!B:B, MATCH(A84, 'Asset Register'!A:A, 0)), ""))</f>
        <v/>
      </c>
    </row>
    <row r="85" spans="3:3">
      <c r="C85" t="str">
        <f>IF(A85="","", IFERROR(INDEX('Asset Register'!B:B, MATCH(A85, 'Asset Register'!A:A, 0)), ""))</f>
        <v/>
      </c>
    </row>
    <row r="86" spans="3:3">
      <c r="C86" t="str">
        <f>IF(A86="","", IFERROR(INDEX('Asset Register'!B:B, MATCH(A86, 'Asset Register'!A:A, 0)), ""))</f>
        <v/>
      </c>
    </row>
    <row r="87" spans="3:3">
      <c r="C87" t="str">
        <f>IF(A87="","", IFERROR(INDEX('Asset Register'!B:B, MATCH(A87, 'Asset Register'!A:A, 0)), ""))</f>
        <v/>
      </c>
    </row>
    <row r="88" spans="3:3">
      <c r="C88" t="str">
        <f>IF(A88="","", IFERROR(INDEX('Asset Register'!B:B, MATCH(A88, 'Asset Register'!A:A, 0)), ""))</f>
        <v/>
      </c>
    </row>
    <row r="89" spans="3:3">
      <c r="C89" t="str">
        <f>IF(A89="","", IFERROR(INDEX('Asset Register'!B:B, MATCH(A89, 'Asset Register'!A:A, 0)), ""))</f>
        <v/>
      </c>
    </row>
    <row r="90" spans="3:3">
      <c r="C90" t="str">
        <f>IF(A90="","", IFERROR(INDEX('Asset Register'!B:B, MATCH(A90, 'Asset Register'!A:A, 0)), ""))</f>
        <v/>
      </c>
    </row>
    <row r="91" spans="3:3">
      <c r="C91" t="str">
        <f>IF(A91="","", IFERROR(INDEX('Asset Register'!B:B, MATCH(A91, 'Asset Register'!A:A, 0)), ""))</f>
        <v/>
      </c>
    </row>
    <row r="92" spans="3:3">
      <c r="C92" t="str">
        <f>IF(A92="","", IFERROR(INDEX('Asset Register'!B:B, MATCH(A92, 'Asset Register'!A:A, 0)), ""))</f>
        <v/>
      </c>
    </row>
    <row r="93" spans="3:3">
      <c r="C93" t="str">
        <f>IF(A93="","", IFERROR(INDEX('Asset Register'!B:B, MATCH(A93, 'Asset Register'!A:A, 0)), ""))</f>
        <v/>
      </c>
    </row>
    <row r="94" spans="3:3">
      <c r="C94" t="str">
        <f>IF(A94="","", IFERROR(INDEX('Asset Register'!B:B, MATCH(A94, 'Asset Register'!A:A, 0)), ""))</f>
        <v/>
      </c>
    </row>
    <row r="95" spans="3:3">
      <c r="C95" t="str">
        <f>IF(A95="","", IFERROR(INDEX('Asset Register'!B:B, MATCH(A95, 'Asset Register'!A:A, 0)), ""))</f>
        <v/>
      </c>
    </row>
    <row r="96" spans="3:3">
      <c r="C96" t="str">
        <f>IF(A96="","", IFERROR(INDEX('Asset Register'!B:B, MATCH(A96, 'Asset Register'!A:A, 0)), ""))</f>
        <v/>
      </c>
    </row>
    <row r="97" spans="3:4">
      <c r="C97" t="str">
        <f>IF(A97="","", IFERROR(INDEX('Asset Register'!B:B, MATCH(A97, 'Asset Register'!A:A, 0)), ""))</f>
        <v/>
      </c>
    </row>
    <row r="98" spans="3:4">
      <c r="C98" t="str">
        <f>IF(A98="","", IFERROR(INDEX('Asset Register'!B:B, MATCH(A98, 'Asset Register'!A:A, 0)), ""))</f>
        <v/>
      </c>
    </row>
    <row r="99" spans="3:4">
      <c r="C99" t="str">
        <f>IF(A99="","", IFERROR(INDEX('Asset Register'!B:B, MATCH(A99, 'Asset Register'!A:A, 0)), ""))</f>
        <v/>
      </c>
      <c r="D99" s="1" t="s">
        <v>1207</v>
      </c>
    </row>
    <row r="100" spans="3:4">
      <c r="C100" t="str">
        <f>IF(A100="","", IFERROR(INDEX('Asset Register'!B:B, MATCH(A100, 'Asset Register'!A:A, 0)), ""))</f>
        <v/>
      </c>
      <c r="D100" t="s">
        <v>1168</v>
      </c>
    </row>
    <row r="101" spans="3:4">
      <c r="C101" t="str">
        <f>IF(A101="","", IFERROR(INDEX('Asset Register'!B:B, MATCH(A101, 'Asset Register'!A:A, 0)), ""))</f>
        <v/>
      </c>
      <c r="D101" t="s">
        <v>1165</v>
      </c>
    </row>
    <row r="102" spans="3:4">
      <c r="C102" t="str">
        <f>IF(A102="","", IFERROR(INDEX('Asset Register'!B:B, MATCH(A102, 'Asset Register'!A:A, 0)), ""))</f>
        <v/>
      </c>
      <c r="D102" t="s">
        <v>1170</v>
      </c>
    </row>
    <row r="103" spans="3:4">
      <c r="C103" t="str">
        <f>IF(A103="","", IFERROR(INDEX('Asset Register'!B:B, MATCH(A103, 'Asset Register'!A:A, 0)), ""))</f>
        <v/>
      </c>
      <c r="D103" t="s">
        <v>1163</v>
      </c>
    </row>
    <row r="104" spans="3:4">
      <c r="C104" t="str">
        <f>IF(A104="","", IFERROR(INDEX('Asset Register'!B:B, MATCH(A104, 'Asset Register'!A:A, 0)), ""))</f>
        <v/>
      </c>
      <c r="D104" t="s">
        <v>1192</v>
      </c>
    </row>
    <row r="105" spans="3:4">
      <c r="C105" t="str">
        <f>IF(A105="","", IFERROR(INDEX('Asset Register'!B:B, MATCH(A105, 'Asset Register'!A:A, 0)), ""))</f>
        <v/>
      </c>
      <c r="D105" t="s">
        <v>1202</v>
      </c>
    </row>
    <row r="106" spans="3:4">
      <c r="C106" t="str">
        <f>IF(A106="","", IFERROR(INDEX('Asset Register'!B:B, MATCH(A106, 'Asset Register'!A:A, 0)), ""))</f>
        <v/>
      </c>
      <c r="D106" t="s">
        <v>1199</v>
      </c>
    </row>
    <row r="107" spans="3:4">
      <c r="C107" t="str">
        <f>IF(A107="","", IFERROR(INDEX('Asset Register'!B:B, MATCH(A107, 'Asset Register'!A:A, 0)), ""))</f>
        <v/>
      </c>
    </row>
    <row r="108" spans="3:4">
      <c r="C108" t="str">
        <f>IF(A108="","", IFERROR(INDEX('Asset Register'!B:B, MATCH(A108, 'Asset Register'!A:A, 0)), ""))</f>
        <v/>
      </c>
    </row>
    <row r="109" spans="3:4">
      <c r="C109" t="str">
        <f>IF(A109="","", IFERROR(INDEX('Asset Register'!B:B, MATCH(A109, 'Asset Register'!A:A, 0)), ""))</f>
        <v/>
      </c>
    </row>
    <row r="110" spans="3:4">
      <c r="C110" t="str">
        <f>IF(A110="","", IFERROR(INDEX('Asset Register'!B:B, MATCH(A110, 'Asset Register'!A:A, 0)), ""))</f>
        <v/>
      </c>
    </row>
    <row r="111" spans="3:4">
      <c r="C111" t="str">
        <f>IF(A111="","", IFERROR(INDEX('Asset Register'!B:B, MATCH(A111, 'Asset Register'!A:A, 0)), ""))</f>
        <v/>
      </c>
    </row>
    <row r="112" spans="3:4">
      <c r="C112" t="str">
        <f>IF(A112="","", IFERROR(INDEX('Asset Register'!B:B, MATCH(A112, 'Asset Register'!A:A, 0)), ""))</f>
        <v/>
      </c>
    </row>
    <row r="113" spans="3:3">
      <c r="C113" t="str">
        <f>IF(A113="","", IFERROR(INDEX('Asset Register'!B:B, MATCH(A113, 'Asset Register'!A:A, 0)), ""))</f>
        <v/>
      </c>
    </row>
    <row r="114" spans="3:3">
      <c r="C114" t="str">
        <f>IF(A114="","", IFERROR(INDEX('Asset Register'!B:B, MATCH(A114, 'Asset Register'!A:A, 0)), ""))</f>
        <v/>
      </c>
    </row>
    <row r="115" spans="3:3">
      <c r="C115" t="str">
        <f>IF(A115="","", IFERROR(INDEX('Asset Register'!B:B, MATCH(A115, 'Asset Register'!A:A, 0)), ""))</f>
        <v/>
      </c>
    </row>
    <row r="116" spans="3:3">
      <c r="C116" t="str">
        <f>IF(A116="","", IFERROR(INDEX('Asset Register'!B:B, MATCH(A116, 'Asset Register'!A:A, 0)), ""))</f>
        <v/>
      </c>
    </row>
    <row r="117" spans="3:3">
      <c r="C117" t="str">
        <f>IF(A117="","", IFERROR(INDEX('Asset Register'!B:B, MATCH(A117, 'Asset Register'!A:A, 0)), ""))</f>
        <v/>
      </c>
    </row>
    <row r="118" spans="3:3">
      <c r="C118" t="str">
        <f>IF(A118="","", IFERROR(INDEX('Asset Register'!B:B, MATCH(A118, 'Asset Register'!A:A, 0)), ""))</f>
        <v/>
      </c>
    </row>
    <row r="119" spans="3:3">
      <c r="C119" t="str">
        <f>IF(A119="","", IFERROR(INDEX('Asset Register'!B:B, MATCH(A119, 'Asset Register'!A:A, 0)), ""))</f>
        <v/>
      </c>
    </row>
    <row r="120" spans="3:3">
      <c r="C120" t="str">
        <f>IF(A120="","", IFERROR(INDEX('Asset Register'!B:B, MATCH(A120, 'Asset Register'!A:A, 0)), ""))</f>
        <v/>
      </c>
    </row>
    <row r="121" spans="3:3">
      <c r="C121" t="str">
        <f>IF(A121="","", IFERROR(INDEX('Asset Register'!B:B, MATCH(A121, 'Asset Register'!A:A, 0)), ""))</f>
        <v/>
      </c>
    </row>
    <row r="122" spans="3:3">
      <c r="C122" t="str">
        <f>IF(A122="","", IFERROR(INDEX('Asset Register'!B:B, MATCH(A122, 'Asset Register'!A:A, 0)), ""))</f>
        <v/>
      </c>
    </row>
    <row r="123" spans="3:3">
      <c r="C123" t="str">
        <f>IF(A123="","", IFERROR(INDEX('Asset Register'!B:B, MATCH(A123, 'Asset Register'!A:A, 0)), ""))</f>
        <v/>
      </c>
    </row>
    <row r="124" spans="3:3">
      <c r="C124" t="str">
        <f>IF(A124="","", IFERROR(INDEX('Asset Register'!B:B, MATCH(A124, 'Asset Register'!A:A, 0)), ""))</f>
        <v/>
      </c>
    </row>
    <row r="125" spans="3:3">
      <c r="C125" t="str">
        <f>IF(A125="","", IFERROR(INDEX('Asset Register'!B:B, MATCH(A125, 'Asset Register'!A:A, 0)), ""))</f>
        <v/>
      </c>
    </row>
    <row r="126" spans="3:3">
      <c r="C126" t="str">
        <f>IF(A126="","", IFERROR(INDEX('Asset Register'!B:B, MATCH(A126, 'Asset Register'!A:A, 0)), ""))</f>
        <v/>
      </c>
    </row>
    <row r="127" spans="3:3">
      <c r="C127" t="str">
        <f>IF(A127="","", IFERROR(INDEX('Asset Register'!B:B, MATCH(A127, 'Asset Register'!A:A, 0)), ""))</f>
        <v/>
      </c>
    </row>
    <row r="128" spans="3:3">
      <c r="C128" t="str">
        <f>IF(A128="","", IFERROR(INDEX('Asset Register'!B:B, MATCH(A128, 'Asset Register'!A:A, 0)), ""))</f>
        <v/>
      </c>
    </row>
    <row r="129" spans="3:3">
      <c r="C129" t="str">
        <f>IF(A129="","", IFERROR(INDEX('Asset Register'!B:B, MATCH(A129, 'Asset Register'!A:A, 0)), ""))</f>
        <v/>
      </c>
    </row>
    <row r="130" spans="3:3">
      <c r="C130" t="str">
        <f>IF(A130="","", IFERROR(INDEX('Asset Register'!B:B, MATCH(A130, 'Asset Register'!A:A, 0)), ""))</f>
        <v/>
      </c>
    </row>
  </sheetData>
  <sheetProtection selectLockedCells="1"/>
  <sortState xmlns:xlrd2="http://schemas.microsoft.com/office/spreadsheetml/2017/richdata2" ref="A2:J149">
    <sortCondition ref="A2:A149"/>
  </sortState>
  <phoneticPr fontId="5" type="noConversion"/>
  <conditionalFormatting sqref="B1:B1048576">
    <cfRule type="containsText" dxfId="12" priority="1" stopIfTrue="1" operator="containsText" text="ERROR">
      <formula>NOT(ISERROR(SEARCH("ERROR",B1)))</formula>
    </cfRule>
  </conditionalFormatting>
  <dataValidations count="2">
    <dataValidation type="list" allowBlank="1" showInputMessage="1" showErrorMessage="1" sqref="F1 F110:F1048576" xr:uid="{8080D250-C919-9441-8B91-F4029904F118}">
      <formula1>Vulnerabilities_List_Helper</formula1>
    </dataValidation>
    <dataValidation type="list" allowBlank="1" showInputMessage="1" showErrorMessage="1" sqref="D2:D98" xr:uid="{5FECEBBB-D682-5744-91D1-A7E9B158286D}">
      <formula1>$D$100:$D$106</formula1>
    </dataValidation>
  </dataValidations>
  <pageMargins left="0.75" right="0.75" top="1" bottom="1" header="0.5" footer="0.5"/>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6BD7596B-D60D-584D-9E58-8CB0E9581007}">
          <x14:formula1>
            <xm:f>'Instructions and Definitions'!$K$3:$K$57</xm:f>
          </x14:formula1>
          <xm:sqref>F54:F109</xm:sqref>
        </x14:dataValidation>
        <x14:dataValidation type="list" allowBlank="1" showInputMessage="1" showErrorMessage="1" xr:uid="{AB92BA90-0CE6-8347-B22A-8B89F3482A1C}">
          <x14:formula1>
            <xm:f>'Instructions and Definitions'!$K$3:$K$61</xm:f>
          </x14:formula1>
          <xm:sqref>F2:F53</xm:sqref>
        </x14:dataValidation>
        <x14:dataValidation type="list" allowBlank="1" showInputMessage="1" showErrorMessage="1" xr:uid="{5B52A36A-B124-4A09-BC7B-809B9B8A69DA}">
          <x14:formula1>
            <xm:f>'Instructions and Definitions'!$O$3:$O$5</xm:f>
          </x14:formula1>
          <xm:sqref>H2:H47</xm:sqref>
        </x14:dataValidation>
        <x14:dataValidation type="list" allowBlank="1" showInputMessage="1" showErrorMessage="1" xr:uid="{CAC4D65A-51C5-4444-B78A-30C694FD80A8}">
          <x14:formula1>
            <xm:f>'Instructions and Definitions'!$N$3:$N$5</xm:f>
          </x14:formula1>
          <xm:sqref>G2:G47</xm:sqref>
        </x14:dataValidation>
        <x14:dataValidation type="list" allowBlank="1" showInputMessage="1" showErrorMessage="1" xr:uid="{CA45A8AC-CD83-CE43-AB91-5C65EE33CF42}">
          <x14:formula1>
            <xm:f>'Instructions and Definitions'!$J$3:$J$61</xm:f>
          </x14:formula1>
          <xm:sqref>E58:E135</xm:sqref>
        </x14:dataValidation>
        <x14:dataValidation type="list" allowBlank="1" showInputMessage="1" showErrorMessage="1" xr:uid="{977C0F91-2900-4010-BDBC-5022037D6A0F}">
          <x14:formula1>
            <xm:f>'Instructions and Definitions'!$J$3:$J$63</xm:f>
          </x14:formula1>
          <xm:sqref>E37:E57</xm:sqref>
        </x14:dataValidation>
        <x14:dataValidation type="list" allowBlank="1" showInputMessage="1" showErrorMessage="1" xr:uid="{0790EAE8-F800-4584-BA4A-0635A5286D01}">
          <x14:formula1>
            <xm:f>'Instructions and Definitions'!$J$3:$J$64</xm:f>
          </x14:formula1>
          <xm:sqref>E2:E36</xm:sqref>
        </x14:dataValidation>
        <x14:dataValidation type="list" allowBlank="1" showInputMessage="1" showErrorMessage="1" xr:uid="{B4700AA6-BEBF-5142-9E10-D69970846382}">
          <x14:formula1>
            <xm:f>'Instructions and Definitions'!$G$22:$G$33</xm:f>
          </x14:formula1>
          <xm:sqref>J2:J128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2D050"/>
  </sheetPr>
  <dimension ref="A1:T150"/>
  <sheetViews>
    <sheetView workbookViewId="0">
      <pane ySplit="1" topLeftCell="J2" activePane="bottomLeft" state="frozen"/>
      <selection pane="bottomLeft" activeCell="L8" sqref="L8"/>
    </sheetView>
  </sheetViews>
  <sheetFormatPr defaultColWidth="8.85546875" defaultRowHeight="15"/>
  <cols>
    <col min="1" max="2" width="7.28515625" bestFit="1" customWidth="1"/>
    <col min="3" max="3" width="31.140625" bestFit="1" customWidth="1"/>
    <col min="4" max="4" width="64.85546875" customWidth="1"/>
    <col min="5" max="5" width="30.42578125" bestFit="1" customWidth="1"/>
    <col min="6" max="6" width="23" bestFit="1" customWidth="1"/>
    <col min="7" max="7" width="17" bestFit="1" customWidth="1"/>
    <col min="8" max="8" width="58.7109375" customWidth="1"/>
    <col min="9" max="9" width="61" bestFit="1" customWidth="1"/>
    <col min="10" max="12" width="47.85546875" customWidth="1"/>
    <col min="13" max="13" width="20.140625" bestFit="1" customWidth="1"/>
    <col min="14" max="14" width="12.42578125" bestFit="1" customWidth="1"/>
    <col min="15" max="15" width="14.85546875" customWidth="1"/>
    <col min="16" max="16" width="12" bestFit="1" customWidth="1"/>
    <col min="17" max="17" width="18.42578125" customWidth="1"/>
    <col min="18" max="18" width="32.140625" customWidth="1"/>
    <col min="19" max="19" width="8.85546875" bestFit="1" customWidth="1"/>
  </cols>
  <sheetData>
    <row r="1" spans="1:20" ht="15.75">
      <c r="A1" s="29" t="s">
        <v>1154</v>
      </c>
      <c r="B1" s="1" t="s">
        <v>356</v>
      </c>
      <c r="C1" s="2" t="s">
        <v>357</v>
      </c>
      <c r="D1" s="1" t="s">
        <v>1208</v>
      </c>
      <c r="E1" s="1" t="s">
        <v>1161</v>
      </c>
      <c r="F1" s="1" t="s">
        <v>1209</v>
      </c>
      <c r="G1" s="1" t="s">
        <v>1210</v>
      </c>
      <c r="H1" s="1" t="s">
        <v>1211</v>
      </c>
      <c r="I1" s="1" t="s">
        <v>1212</v>
      </c>
      <c r="J1" s="1" t="s">
        <v>1213</v>
      </c>
      <c r="K1" s="1" t="s">
        <v>1214</v>
      </c>
      <c r="L1" s="1" t="s">
        <v>1215</v>
      </c>
      <c r="M1" s="1" t="s">
        <v>1216</v>
      </c>
      <c r="N1" s="1" t="s">
        <v>1217</v>
      </c>
      <c r="O1" s="1" t="s">
        <v>821</v>
      </c>
      <c r="P1" s="1" t="s">
        <v>318</v>
      </c>
      <c r="Q1" s="30" t="s">
        <v>1218</v>
      </c>
      <c r="R1" s="122" t="s">
        <v>1219</v>
      </c>
      <c r="S1" s="1"/>
      <c r="T1" s="1"/>
    </row>
    <row r="2" spans="1:20" ht="45.75">
      <c r="A2" s="4" t="str">
        <f>'Risk Register'!B2</f>
        <v>R001</v>
      </c>
      <c r="B2" t="str">
        <f>IF(A2="","",
    IF(COUNTIF('Risk Register'!B:B, A2)=0, "ERROR: Risk ID Not Found",
        INDEX('Risk Register'!A:A, MATCH(A2, 'Risk Register'!B:B, 0))
    )
)</f>
        <v>A001</v>
      </c>
      <c r="C2" t="str">
        <f>IF(A2="","", IFERROR(INDEX('Risk Register'!C:C, MATCH(A2, 'Risk Register'!B:B, 0)), ""))</f>
        <v>Client Data Contacts</v>
      </c>
      <c r="D2" t="str">
        <f>LEFT('Risk Register'!E2,FIND(".",'Risk Register'!E2,1))</f>
        <v>Unauthorized access to sensitive client information.</v>
      </c>
      <c r="E2" t="str">
        <f>IF(A2="","", IFERROR(INDEX('Risk Register'!J:J, MATCH(A2, 'Risk Register'!B:B, 0)), ""))</f>
        <v>Data Protection and Risk Manager</v>
      </c>
      <c r="F2" s="138">
        <f>IF(A2="","", IFERROR(INDEX('Risk Register'!I:I, MATCH(A2, 'Risk Register'!B:B, 0)), ""))</f>
        <v>6</v>
      </c>
      <c r="G2" t="s">
        <v>728</v>
      </c>
      <c r="H2" s="34" t="s">
        <v>1220</v>
      </c>
      <c r="I2" s="28" t="str">
        <f>IF(J2="","", IFERROR(INDEX('Statement of Applicability'!C:C, MATCH(J2, 'Statement of Applicability'!B:B, 0)), ""))</f>
        <v>Rules to control physical and logical access to information and other associated assets shall be established and implemented based on business and information security requirements.</v>
      </c>
      <c r="J2" s="28" t="s">
        <v>887</v>
      </c>
      <c r="K2" s="28" t="s">
        <v>1221</v>
      </c>
      <c r="L2" s="28" t="s">
        <v>1222</v>
      </c>
      <c r="M2" t="s">
        <v>1223</v>
      </c>
      <c r="N2" t="s">
        <v>387</v>
      </c>
      <c r="O2" t="s">
        <v>830</v>
      </c>
      <c r="P2" t="s">
        <v>1223</v>
      </c>
    </row>
    <row r="3" spans="1:20" ht="76.5">
      <c r="A3" s="4" t="str">
        <f>'Risk Register'!B3</f>
        <v>R002</v>
      </c>
      <c r="B3" t="str">
        <f>IF(A3="","",
    IF(COUNTIF('Risk Register'!B:B, A3)=0, "ERROR: Risk ID Not Found",
        INDEX('Risk Register'!A:A, MATCH(A3, 'Risk Register'!B:B, 0))
    )
)</f>
        <v>A001</v>
      </c>
      <c r="C3" t="str">
        <f>IF(A3="","", IFERROR(INDEX('Risk Register'!C:C, MATCH(A3, 'Risk Register'!B:B, 0)), ""))</f>
        <v>Client Data Contacts</v>
      </c>
      <c r="D3" t="str">
        <f>LEFT('Risk Register'!E3,FIND(".",'Risk Register'!E3,1))</f>
        <v>Social engineering attacks (eg, phishing targeting employees with access).</v>
      </c>
      <c r="E3" t="str">
        <f>IF(A3="","", IFERROR(INDEX('Risk Register'!J:J, MATCH(A3, 'Risk Register'!B:B, 0)), ""))</f>
        <v>Data Protection and Risk Manager</v>
      </c>
      <c r="F3" s="138">
        <f>IF(A3="","", IFERROR(INDEX('Risk Register'!I:I, MATCH(A3, 'Risk Register'!B:B, 0)), ""))</f>
        <v>6</v>
      </c>
      <c r="G3" t="s">
        <v>728</v>
      </c>
      <c r="H3" s="34" t="s">
        <v>1224</v>
      </c>
      <c r="I3" s="28" t="str">
        <f>IF(J3="","", IFERROR(INDEX('Statement of Applicability'!C:C, MATCH(J3, 'Statement of Applicability'!B:B, 0)), ""))</f>
        <v>Personnel of the organization and relevant interested parties shall receive appropriate information security awareness, education and training and regular updates of the organization's information security policy, topic-specific policies and procedures, as relevant for their job function.</v>
      </c>
      <c r="J3" s="28" t="s">
        <v>988</v>
      </c>
      <c r="K3" s="28" t="s">
        <v>1225</v>
      </c>
      <c r="L3" s="28"/>
      <c r="M3" t="s">
        <v>1226</v>
      </c>
      <c r="N3" t="s">
        <v>387</v>
      </c>
      <c r="O3" t="s">
        <v>830</v>
      </c>
      <c r="P3" t="s">
        <v>1226</v>
      </c>
    </row>
    <row r="4" spans="1:20" ht="30.75">
      <c r="A4" s="4" t="str">
        <f>'Risk Register'!B4</f>
        <v>R003</v>
      </c>
      <c r="B4" t="str">
        <f>IF(A4="","",
    IF(COUNTIF('Risk Register'!B:B, A4)=0, "ERROR: Risk ID Not Found",
        INDEX('Risk Register'!A:A, MATCH(A4, 'Risk Register'!B:B, 0))
    )
)</f>
        <v>A002</v>
      </c>
      <c r="C4" t="str">
        <f>IF(A4="","", IFERROR(INDEX('Risk Register'!C:C, MATCH(A4, 'Risk Register'!B:B, 0)), ""))</f>
        <v>Training VMs in Azure</v>
      </c>
      <c r="D4" s="28" t="str">
        <f>LEFT('Risk Register'!E4,FIND(".",'Risk Register'!E4,1))</f>
        <v>Denial of Service (DoS) attacks that make the training environment unavailable.</v>
      </c>
      <c r="E4" t="str">
        <f>IF(A4="","", IFERROR(INDEX('Risk Register'!J:J, MATCH(A4, 'Risk Register'!B:B, 0)), ""))</f>
        <v>Data Protection and Risk Manager</v>
      </c>
      <c r="F4">
        <f>IF(A4="","", IFERROR(INDEX('Risk Register'!I:I, MATCH(A4, 'Risk Register'!B:B, 0)), ""))</f>
        <v>2</v>
      </c>
      <c r="G4" t="s">
        <v>728</v>
      </c>
      <c r="H4" s="34" t="s">
        <v>1227</v>
      </c>
      <c r="I4" s="28" t="str">
        <f>IF(J4="","", IFERROR(INDEX('Statement of Applicability'!C:C, MATCH(J4, 'Statement of Applicability'!B:B, 0)), ""))</f>
        <v>Networks and network devices shall be secured, managed and controlled to protect information in systems and applications.</v>
      </c>
      <c r="J4" s="28" t="s">
        <v>1113</v>
      </c>
      <c r="K4" s="28" t="s">
        <v>1225</v>
      </c>
      <c r="L4" s="28"/>
      <c r="M4" t="s">
        <v>1228</v>
      </c>
      <c r="N4" t="s">
        <v>387</v>
      </c>
      <c r="O4" t="s">
        <v>830</v>
      </c>
      <c r="P4" t="s">
        <v>1228</v>
      </c>
    </row>
    <row r="5" spans="1:20" ht="30.75">
      <c r="A5" s="4" t="str">
        <f>'Risk Register'!B5</f>
        <v>R004</v>
      </c>
      <c r="B5" t="str">
        <f>IF(A5="","",
    IF(COUNTIF('Risk Register'!B:B, A5)=0, "ERROR: Risk ID Not Found",
        INDEX('Risk Register'!A:A, MATCH(A5, 'Risk Register'!B:B, 0))
    )
)</f>
        <v>A002</v>
      </c>
      <c r="C5" t="str">
        <f>IF(A5="","", IFERROR(INDEX('Risk Register'!C:C, MATCH(A5, 'Risk Register'!B:B, 0)), ""))</f>
        <v>Training VMs in Azure</v>
      </c>
      <c r="D5" t="str">
        <f>LEFT('Risk Register'!E5,FIND(".",'Risk Register'!E5,1))</f>
        <v>Malicious insiders using access for non-legitimate purposes.</v>
      </c>
      <c r="E5" t="str">
        <f>IF(A5="","", IFERROR(INDEX('Risk Register'!J:J, MATCH(A5, 'Risk Register'!B:B, 0)), ""))</f>
        <v>Data Protection and Risk Manager</v>
      </c>
      <c r="F5" s="113">
        <f>IF(A5="","", IFERROR(INDEX('Risk Register'!I:I, MATCH(A5, 'Risk Register'!B:B, 0)), ""))</f>
        <v>4</v>
      </c>
      <c r="G5" t="s">
        <v>728</v>
      </c>
      <c r="H5" s="34" t="s">
        <v>1229</v>
      </c>
      <c r="I5" s="28" t="str">
        <f>IF(J5="","", IFERROR(INDEX('Statement of Applicability'!C:C, MATCH(J5, 'Statement of Applicability'!B:B, 0)), ""))</f>
        <v>The allocation and use of privileged access rights shall be restricted and managed.</v>
      </c>
      <c r="J5" s="28" t="s">
        <v>1050</v>
      </c>
      <c r="K5" s="28" t="s">
        <v>1225</v>
      </c>
      <c r="L5" s="28"/>
      <c r="M5" t="s">
        <v>1228</v>
      </c>
      <c r="N5" t="s">
        <v>387</v>
      </c>
      <c r="O5" t="s">
        <v>830</v>
      </c>
      <c r="P5" t="s">
        <v>1228</v>
      </c>
    </row>
    <row r="6" spans="1:20" ht="60.75">
      <c r="A6" s="4" t="str">
        <f>'Risk Register'!B6</f>
        <v>R005</v>
      </c>
      <c r="B6" t="str">
        <f>IF(A6="","",
    IF(COUNTIF('Risk Register'!B:B, A6)=0, "ERROR: Risk ID Not Found",
        INDEX('Risk Register'!A:A, MATCH(A6, 'Risk Register'!B:B, 0))
    )
)</f>
        <v>A003</v>
      </c>
      <c r="C6" t="str">
        <f>IF(A6="","", IFERROR(INDEX('Risk Register'!C:C, MATCH(A6, 'Risk Register'!B:B, 0)), ""))</f>
        <v>Project Documentation</v>
      </c>
      <c r="D6" t="str">
        <f>LEFT('Risk Register'!E6,FIND(".",'Risk Register'!E6,1))</f>
        <v>Unauthorized access to confidential or proprietary project documentation.</v>
      </c>
      <c r="E6" t="str">
        <f>IF(A6="","", IFERROR(INDEX('Risk Register'!J:J, MATCH(A6, 'Risk Register'!B:B, 0)), ""))</f>
        <v>Data Protection and Risk Manager</v>
      </c>
      <c r="F6" s="113">
        <f>IF(A6="","", IFERROR(INDEX('Risk Register'!I:I, MATCH(A6, 'Risk Register'!B:B, 0)), ""))</f>
        <v>4</v>
      </c>
      <c r="G6" t="s">
        <v>728</v>
      </c>
      <c r="H6" s="34" t="s">
        <v>1230</v>
      </c>
      <c r="I6" s="28" t="str">
        <f>IF(J6="","", IFERROR(INDEX('Statement of Applicability'!C:C, MATCH(J6, 'Statement of Applicability'!B:B, 0)), ""))</f>
        <v>Access rights to information and other associated assets shall be provisioned, reviewed, modified and removed in accordance with the organization's topic-specific policy on and rules for access control.</v>
      </c>
      <c r="J6" s="28" t="str">
        <f>'Statement of Applicability'!B32</f>
        <v>5.18 Access rights</v>
      </c>
      <c r="K6" s="28" t="str">
        <f>IF(L6="","", IFERROR(INDEX(#REF!, MATCH(L6,#REF!, 0)), ""))</f>
        <v/>
      </c>
      <c r="L6" s="28" t="s">
        <v>1222</v>
      </c>
      <c r="M6" t="s">
        <v>1231</v>
      </c>
      <c r="N6" t="s">
        <v>387</v>
      </c>
      <c r="O6" t="s">
        <v>830</v>
      </c>
      <c r="P6" t="s">
        <v>1231</v>
      </c>
    </row>
    <row r="7" spans="1:20" ht="45.75">
      <c r="A7" s="4" t="str">
        <f>'Risk Register'!B7</f>
        <v>R006</v>
      </c>
      <c r="B7" t="str">
        <f>IF(A7="","",
    IF(COUNTIF('Risk Register'!B:B, A7)=0, "ERROR: Risk ID Not Found",
        INDEX('Risk Register'!A:A, MATCH(A7, 'Risk Register'!B:B, 0))
    )
)</f>
        <v>A003</v>
      </c>
      <c r="C7" t="str">
        <f>IF(A7="","", IFERROR(INDEX('Risk Register'!C:C, MATCH(A7, 'Risk Register'!B:B, 0)), ""))</f>
        <v>Project Documentation</v>
      </c>
      <c r="D7" t="str">
        <f>LEFT('Risk Register'!E7,FIND(".",'Risk Register'!E7,1))</f>
        <v>Loss of project documentation due to insufficient backup procedures.</v>
      </c>
      <c r="E7" t="str">
        <f>IF(A7="","", IFERROR(INDEX('Risk Register'!J:J, MATCH(A7, 'Risk Register'!B:B, 0)), ""))</f>
        <v>Data Protection and Risk Manager</v>
      </c>
      <c r="F7" s="138">
        <f>IF(A7="","", IFERROR(INDEX('Risk Register'!I:I, MATCH(A7, 'Risk Register'!B:B, 0)), ""))</f>
        <v>6</v>
      </c>
      <c r="G7" t="s">
        <v>728</v>
      </c>
      <c r="H7" s="34" t="s">
        <v>1232</v>
      </c>
      <c r="I7" s="28" t="str">
        <f>IF(J7="","", IFERROR(INDEX('Statement of Applicability'!C:C, MATCH(J7, 'Statement of Applicability'!B:B, 0)), ""))</f>
        <v>Backup copies of information, software and systems shall be maintained and regularly tested in accordance with the agreed topic-specific policy on backup.</v>
      </c>
      <c r="J7" s="28" t="str">
        <f>'Statement of Applicability'!B89</f>
        <v>8.13 Information backup</v>
      </c>
      <c r="K7" s="28" t="s">
        <v>1225</v>
      </c>
      <c r="L7" s="28"/>
      <c r="M7" t="s">
        <v>1233</v>
      </c>
      <c r="N7" t="s">
        <v>387</v>
      </c>
      <c r="O7" t="s">
        <v>830</v>
      </c>
      <c r="P7" t="s">
        <v>1233</v>
      </c>
    </row>
    <row r="8" spans="1:20" ht="45.75">
      <c r="A8" s="4" t="str">
        <f>'Risk Register'!B8</f>
        <v>R007</v>
      </c>
      <c r="B8" t="str">
        <f>IF(A8="","",
    IF(COUNTIF('Risk Register'!B:B, A8)=0, "ERROR: Risk ID Not Found",
        INDEX('Risk Register'!A:A, MATCH(A8, 'Risk Register'!B:B, 0))
    )
)</f>
        <v>A004</v>
      </c>
      <c r="C8" s="28" t="str">
        <f>IF(A8="","", IFERROR(INDEX('Risk Register'!C:C, MATCH(A8, 'Risk Register'!B:B, 0)), ""))</f>
        <v>Personal laptops used for work purpose</v>
      </c>
      <c r="D8" t="str">
        <f>LEFT('Risk Register'!E8,FIND(".",'Risk Register'!E8,1))</f>
        <v>Loss or theft of laptops containing sensitive corporate data.</v>
      </c>
      <c r="E8" t="str">
        <f>IF(A8="","", IFERROR(INDEX('Risk Register'!J:J, MATCH(A8, 'Risk Register'!B:B, 0)), ""))</f>
        <v>Data Protection and Risk Manager</v>
      </c>
      <c r="F8" s="138">
        <f>IF(A8="","", IFERROR(INDEX('Risk Register'!I:I, MATCH(A8, 'Risk Register'!B:B, 0)), ""))</f>
        <v>6</v>
      </c>
      <c r="G8" t="s">
        <v>728</v>
      </c>
      <c r="H8" s="34" t="s">
        <v>1234</v>
      </c>
      <c r="I8" s="28" t="str">
        <f>IF(J8="","", IFERROR(INDEX('Statement of Applicability'!C:C, MATCH(J8, 'Statement of Applicability'!B:B, 0)), ""))</f>
        <v>Data leakage prevention measures shall be applied to systems, networks and any other devices that process, store or transmit sensitive information.</v>
      </c>
      <c r="J8" s="28" t="str">
        <f>'Statement of Applicability'!B88</f>
        <v>8.12 Data leakage prevention</v>
      </c>
      <c r="K8" s="28" t="str">
        <f>IF(L8="","", IFERROR(INDEX(#REF!, MATCH(L8,#REF!, 0)), ""))</f>
        <v/>
      </c>
      <c r="L8" s="28" t="s">
        <v>1235</v>
      </c>
      <c r="M8" t="s">
        <v>1231</v>
      </c>
      <c r="N8" t="s">
        <v>387</v>
      </c>
      <c r="O8" t="s">
        <v>830</v>
      </c>
      <c r="P8" t="s">
        <v>1231</v>
      </c>
    </row>
    <row r="9" spans="1:20" ht="30.75">
      <c r="A9" s="4" t="str">
        <f>'Risk Register'!B9</f>
        <v>R008</v>
      </c>
      <c r="B9" t="str">
        <f>IF(A9="","",
    IF(COUNTIF('Risk Register'!B:B, A9)=0, "ERROR: Risk ID Not Found",
        INDEX('Risk Register'!A:A, MATCH(A9, 'Risk Register'!B:B, 0))
    )
)</f>
        <v>A004</v>
      </c>
      <c r="C9" s="28" t="str">
        <f>IF(A9="","", IFERROR(INDEX('Risk Register'!C:C, MATCH(A9, 'Risk Register'!B:B, 0)), ""))</f>
        <v>Personal laptops used for work purpose</v>
      </c>
      <c r="D9" t="str">
        <f>LEFT('Risk Register'!E9,FIND(".",'Risk Register'!E9,1))</f>
        <v>Malware or ransomware infections compromising laptop security.</v>
      </c>
      <c r="E9" t="str">
        <f>IF(A9="","", IFERROR(INDEX('Risk Register'!J:J, MATCH(A9, 'Risk Register'!B:B, 0)), ""))</f>
        <v>Data Protection and Risk Manager</v>
      </c>
      <c r="F9">
        <f>IF(A9="","", IFERROR(INDEX('Risk Register'!I:I, MATCH(A9, 'Risk Register'!B:B, 0)), ""))</f>
        <v>3</v>
      </c>
      <c r="G9" t="s">
        <v>728</v>
      </c>
      <c r="H9" s="315" t="s">
        <v>1236</v>
      </c>
      <c r="I9" s="28" t="str">
        <f>IF(J9="","", IFERROR(INDEX('Statement of Applicability'!C:C, MATCH(J9, 'Statement of Applicability'!B:B, 0)), ""))</f>
        <v>Protection against malware shall be implemented and supported by appropriate user awareness.</v>
      </c>
      <c r="J9" s="28" t="str">
        <f>'Statement of Applicability'!B83</f>
        <v>8.7 Protection against malware</v>
      </c>
      <c r="K9" s="28" t="s">
        <v>1225</v>
      </c>
      <c r="L9" s="28"/>
      <c r="M9" s="316">
        <v>45595</v>
      </c>
      <c r="N9" t="s">
        <v>387</v>
      </c>
      <c r="O9" t="s">
        <v>830</v>
      </c>
      <c r="P9" s="316">
        <v>45988</v>
      </c>
    </row>
    <row r="10" spans="1:20" ht="45.75">
      <c r="A10" s="4" t="str">
        <f>'Risk Register'!B10</f>
        <v>R009</v>
      </c>
      <c r="B10" t="s">
        <v>370</v>
      </c>
      <c r="C10" t="str">
        <f>IF(A10="","", IFERROR(INDEX('Risk Register'!C:C, MATCH(A10, 'Risk Register'!B:B, 0)), ""))</f>
        <v>Training Materials</v>
      </c>
      <c r="D10" t="str">
        <f>LEFT('Risk Register'!E10,FIND(".",'Risk Register'!E10,1))</f>
        <v>Loss of materials due to accidental deletion or system failure.</v>
      </c>
      <c r="E10" t="str">
        <f>IF(A10="","", IFERROR(INDEX('Risk Register'!J:J, MATCH(A10, 'Risk Register'!B:B, 0)), ""))</f>
        <v>Data Protection and Risk Manager</v>
      </c>
      <c r="F10" s="138">
        <f>IF(A10="","", IFERROR(INDEX('Risk Register'!I:I, MATCH(A10, 'Risk Register'!B:B, 0)), ""))</f>
        <v>6</v>
      </c>
      <c r="G10" t="s">
        <v>728</v>
      </c>
      <c r="H10" s="34" t="s">
        <v>1237</v>
      </c>
      <c r="I10" s="28" t="str">
        <f>IF(J10="","", IFERROR(INDEX('Statement of Applicability'!C:C, MATCH(J10, 'Statement of Applicability'!B:B, 0)), ""))</f>
        <v>Backup copies of information, software and systems shall be maintained and regularly tested in accordance with the agreed topic-specific policy on backup.</v>
      </c>
      <c r="J10" s="28" t="str">
        <f>'Statement of Applicability'!B89</f>
        <v>8.13 Information backup</v>
      </c>
      <c r="K10" s="28" t="s">
        <v>1225</v>
      </c>
      <c r="L10" s="28"/>
      <c r="M10" s="316">
        <v>45595</v>
      </c>
      <c r="N10" t="s">
        <v>387</v>
      </c>
      <c r="O10" t="s">
        <v>830</v>
      </c>
      <c r="P10" s="316">
        <v>45988</v>
      </c>
    </row>
    <row r="11" spans="1:20" ht="45.75">
      <c r="A11" s="4" t="str">
        <f>'Risk Register'!B11</f>
        <v>R010</v>
      </c>
      <c r="B11" t="str">
        <f>IF(A11="","",
    IF(COUNTIF('Risk Register'!B:B, A11)=0, "ERROR: Risk ID Not Found",
        INDEX('Risk Register'!A:A, MATCH(A11, 'Risk Register'!B:B, 0))
    )
)</f>
        <v>A005</v>
      </c>
      <c r="C11" t="str">
        <f>IF(A11="","", IFERROR(INDEX('Risk Register'!C:C, MATCH(A11, 'Risk Register'!B:B, 0)), ""))</f>
        <v>Training Materials</v>
      </c>
      <c r="D11" t="str">
        <f>LEFT('Risk Register'!E11,FIND(".",'Risk Register'!E11,1))</f>
        <v>Theft of intellectual property from proprietary training materials.</v>
      </c>
      <c r="E11" t="str">
        <f>IF(A11="","", IFERROR(INDEX('Risk Register'!J:J, MATCH(A11, 'Risk Register'!B:B, 0)), ""))</f>
        <v>Data Protection and Risk Manager</v>
      </c>
      <c r="F11" s="138">
        <f>IF(A11="","", IFERROR(INDEX('Risk Register'!I:I, MATCH(A11, 'Risk Register'!B:B, 0)), ""))</f>
        <v>6</v>
      </c>
      <c r="G11" t="s">
        <v>728</v>
      </c>
      <c r="H11" s="34" t="s">
        <v>1238</v>
      </c>
      <c r="I11" s="28" t="str">
        <f>IF(J11="","", IFERROR(INDEX('Statement of Applicability'!C:C, MATCH(J11, 'Statement of Applicability'!B:B, 0)), ""))</f>
        <v>Data leakage prevention measures shall be applied to systems, networks and any other devices that process, store or transmit sensitive information.</v>
      </c>
      <c r="J11" s="28" t="str">
        <f>'Statement of Applicability'!B88</f>
        <v>8.12 Data leakage prevention</v>
      </c>
      <c r="K11" s="28" t="s">
        <v>1225</v>
      </c>
      <c r="L11" s="28"/>
      <c r="M11" s="316">
        <v>45595</v>
      </c>
      <c r="N11" t="s">
        <v>387</v>
      </c>
      <c r="O11" t="s">
        <v>830</v>
      </c>
      <c r="P11" s="316">
        <v>45988</v>
      </c>
    </row>
    <row r="12" spans="1:20" ht="60.75">
      <c r="A12" s="4" t="str">
        <f>'Risk Register'!B12</f>
        <v>R011</v>
      </c>
      <c r="B12" t="str">
        <f>IF(A12="","",
    IF(COUNTIF('Risk Register'!B:B, A12)=0, "ERROR: Risk ID Not Found",
        INDEX('Risk Register'!A:A, MATCH(A12, 'Risk Register'!B:B, 0))
    )
)</f>
        <v>A006</v>
      </c>
      <c r="C12" t="str">
        <f>IF(A12="","", IFERROR(INDEX('Risk Register'!C:C, MATCH(A12, 'Risk Register'!B:B, 0)), ""))</f>
        <v>Internal Documents</v>
      </c>
      <c r="D12" t="str">
        <f>LEFT('Risk Register'!E12,FIND(".",'Risk Register'!E12,1))</f>
        <v>Unauthorized access or modification of internal policies.</v>
      </c>
      <c r="E12" t="str">
        <f>IF(A12="","", IFERROR(INDEX('Risk Register'!J:J, MATCH(A12, 'Risk Register'!B:B, 0)), ""))</f>
        <v>Data Protection and Risk Manager</v>
      </c>
      <c r="F12">
        <f>IF(A12="","", IFERROR(INDEX('Risk Register'!I:I, MATCH(A12, 'Risk Register'!B:B, 0)), ""))</f>
        <v>2</v>
      </c>
      <c r="G12" t="s">
        <v>728</v>
      </c>
      <c r="H12" s="34" t="s">
        <v>1239</v>
      </c>
      <c r="I12" s="28" t="str">
        <f>IF(J12="","", IFERROR(INDEX('Statement of Applicability'!C:C, MATCH(J12, 'Statement of Applicability'!B:B, 0)), ""))</f>
        <v>Access rights to information and other associated assets shall be provisioned, reviewed, modified and removed in accordance with the organization's topic-specific policy on and rules for access control.</v>
      </c>
      <c r="J12" s="28" t="str">
        <f>'Statement of Applicability'!B32</f>
        <v>5.18 Access rights</v>
      </c>
      <c r="K12" s="28" t="s">
        <v>1221</v>
      </c>
      <c r="L12" s="28" t="s">
        <v>1222</v>
      </c>
      <c r="M12" s="316">
        <v>45947</v>
      </c>
      <c r="N12" t="s">
        <v>387</v>
      </c>
      <c r="O12" t="s">
        <v>830</v>
      </c>
      <c r="P12" s="316">
        <v>45988</v>
      </c>
    </row>
    <row r="13" spans="1:20" ht="45.75">
      <c r="A13" s="4" t="str">
        <f>'Risk Register'!B13</f>
        <v>R012</v>
      </c>
      <c r="B13" t="str">
        <f>IF(A13="","",
    IF(COUNTIF('Risk Register'!B:B, A13)=0, "ERROR: Risk ID Not Found",
        INDEX('Risk Register'!A:A, MATCH(A13, 'Risk Register'!B:B, 0))
    )
)</f>
        <v>A006</v>
      </c>
      <c r="C13" t="str">
        <f>IF(A13="","", IFERROR(INDEX('Risk Register'!C:C, MATCH(A13, 'Risk Register'!B:B, 0)), ""))</f>
        <v>Internal Documents</v>
      </c>
      <c r="D13" t="str">
        <f>LEFT('Risk Register'!E13,FIND(".",'Risk Register'!E13,1))</f>
        <v>Loss of critical documents due to system failure or data corruption.</v>
      </c>
      <c r="E13" t="str">
        <f>IF(A13="","", IFERROR(INDEX('Risk Register'!J:J, MATCH(A13, 'Risk Register'!B:B, 0)), ""))</f>
        <v>Data Protection and Risk Manager</v>
      </c>
      <c r="F13">
        <f>IF(A13="","", IFERROR(INDEX('Risk Register'!I:I, MATCH(A13, 'Risk Register'!B:B, 0)), ""))</f>
        <v>3</v>
      </c>
      <c r="G13" t="s">
        <v>728</v>
      </c>
      <c r="H13" s="34" t="s">
        <v>1240</v>
      </c>
      <c r="I13" s="28" t="str">
        <f>IF(J13="","", IFERROR(INDEX('Statement of Applicability'!C:C, MATCH(J13, 'Statement of Applicability'!B:B, 0)), ""))</f>
        <v>Backup copies of information, software and systems shall be maintained and regularly tested in accordance with the agreed topic-specific policy on backup.</v>
      </c>
      <c r="J13" s="28" t="str">
        <f>'Statement of Applicability'!B89</f>
        <v>8.13 Information backup</v>
      </c>
      <c r="K13" s="28" t="s">
        <v>1225</v>
      </c>
      <c r="L13" s="28"/>
      <c r="M13" s="316">
        <v>45947</v>
      </c>
      <c r="N13" t="s">
        <v>387</v>
      </c>
      <c r="O13" t="s">
        <v>830</v>
      </c>
      <c r="P13" s="316">
        <v>45988</v>
      </c>
    </row>
    <row r="14" spans="1:20" ht="45.75">
      <c r="A14" s="4" t="str">
        <f>'Risk Register'!B14</f>
        <v>R013</v>
      </c>
      <c r="B14" t="str">
        <f>IF(A14="","",
    IF(COUNTIF('Risk Register'!B:B, A14)=0, "ERROR: Risk ID Not Found",
        INDEX('Risk Register'!A:A, MATCH(A14, 'Risk Register'!B:B, 0))
    )
)</f>
        <v>A007</v>
      </c>
      <c r="C14" s="28" t="str">
        <f>IF(A14="","", IFERROR(INDEX('Risk Register'!C:C, MATCH(A14, 'Risk Register'!B:B, 0)), ""))</f>
        <v>Internal Tracker and Audit Documents</v>
      </c>
      <c r="D14" t="str">
        <f>LEFT('Risk Register'!E14,FIND(".",'Risk Register'!E14,1))</f>
        <v>Data tampering or alteration of audit logs.</v>
      </c>
      <c r="E14" t="str">
        <f>IF(A14="","", IFERROR(INDEX('Risk Register'!J:J, MATCH(A14, 'Risk Register'!B:B, 0)), ""))</f>
        <v>Data Protection and Risk Manager</v>
      </c>
      <c r="F14">
        <f>IF(A14="","", IFERROR(INDEX('Risk Register'!I:I, MATCH(A14, 'Risk Register'!B:B, 0)), ""))</f>
        <v>6</v>
      </c>
      <c r="G14" t="s">
        <v>728</v>
      </c>
      <c r="H14" s="34" t="s">
        <v>1241</v>
      </c>
      <c r="I14" s="28" t="str">
        <f>IF(J14="","", IFERROR(INDEX('Statement of Applicability'!C:C, MATCH(J14, 'Statement of Applicability'!B:B, 0)), ""))</f>
        <v>Logs that record activities, exceptions, faults and other relevant events shall be produced, stored, protected and analysed.</v>
      </c>
      <c r="J14" s="28" t="str">
        <f>'Statement of Applicability'!B91</f>
        <v>8.15 Logging</v>
      </c>
      <c r="K14" s="28" t="s">
        <v>1221</v>
      </c>
      <c r="L14" s="28" t="s">
        <v>1222</v>
      </c>
      <c r="M14" s="316">
        <v>45947</v>
      </c>
      <c r="N14" t="s">
        <v>387</v>
      </c>
      <c r="O14" t="s">
        <v>830</v>
      </c>
      <c r="P14" s="316">
        <v>45988</v>
      </c>
    </row>
    <row r="15" spans="1:20" ht="45.75">
      <c r="A15" s="4" t="str">
        <f>'Risk Register'!B15</f>
        <v>R014</v>
      </c>
      <c r="B15" t="str">
        <f>IF(A15="","",
    IF(COUNTIF('Risk Register'!B:B, A15)=0, "ERROR: Risk ID Not Found",
        INDEX('Risk Register'!A:A, MATCH(A15, 'Risk Register'!B:B, 0))
    )
)</f>
        <v>A007</v>
      </c>
      <c r="C15" s="28" t="str">
        <f>IF(A15="","", IFERROR(INDEX('Risk Register'!C:C, MATCH(A15, 'Risk Register'!B:B, 0)), ""))</f>
        <v>Internal Tracker and Audit Documents</v>
      </c>
      <c r="D15" t="str">
        <f>LEFT('Risk Register'!E15,FIND(".",'Risk Register'!E15,1))</f>
        <v>Loss of critical audit data due to system outages or insufficient backups.</v>
      </c>
      <c r="E15" t="str">
        <f>IF(A15="","", IFERROR(INDEX('Risk Register'!J:J, MATCH(A15, 'Risk Register'!B:B, 0)), ""))</f>
        <v>Data Protection and Risk Manager</v>
      </c>
      <c r="F15">
        <f>IF(A15="","", IFERROR(INDEX('Risk Register'!I:I, MATCH(A15, 'Risk Register'!B:B, 0)), ""))</f>
        <v>3</v>
      </c>
      <c r="G15" t="s">
        <v>728</v>
      </c>
      <c r="H15" s="34" t="s">
        <v>1242</v>
      </c>
      <c r="I15" s="28" t="str">
        <f>IF(J15="","", IFERROR(INDEX('Statement of Applicability'!C:C, MATCH(J15, 'Statement of Applicability'!B:B, 0)), ""))</f>
        <v>Backup copies of information, software and systems shall be maintained and regularly tested in accordance with the agreed topic-specific policy on backup.</v>
      </c>
      <c r="J15" s="28" t="str">
        <f>'Statement of Applicability'!B89</f>
        <v>8.13 Information backup</v>
      </c>
      <c r="K15" s="28" t="s">
        <v>1225</v>
      </c>
      <c r="L15" s="28"/>
      <c r="M15" s="316">
        <v>45947</v>
      </c>
      <c r="N15" t="s">
        <v>387</v>
      </c>
      <c r="O15" t="s">
        <v>830</v>
      </c>
      <c r="P15" s="316">
        <v>45988</v>
      </c>
    </row>
    <row r="16" spans="1:20" ht="60.75">
      <c r="A16" s="4" t="str">
        <f>'Risk Register'!B16</f>
        <v>R015</v>
      </c>
      <c r="B16" t="str">
        <f>IF(A16="","",
    IF(COUNTIF('Risk Register'!B:B, A16)=0, "ERROR: Risk ID Not Found",
        INDEX('Risk Register'!A:A, MATCH(A16, 'Risk Register'!B:B, 0))
    )
)</f>
        <v>A008</v>
      </c>
      <c r="C16" t="str">
        <f>IF(A16="","", IFERROR(INDEX('Risk Register'!C:C, MATCH(A16, 'Risk Register'!B:B, 0)), ""))</f>
        <v>Company Website</v>
      </c>
      <c r="D16" t="str">
        <f>LEFT('Risk Register'!E16,FIND(".",'Risk Register'!E16,1))</f>
        <v>Website defacement or data breaches via website vulnerabilities.</v>
      </c>
      <c r="E16" t="str">
        <f>IF(A16="","", IFERROR(INDEX('Risk Register'!J:J, MATCH(A16, 'Risk Register'!B:B, 0)), ""))</f>
        <v>Data Protection and Risk Manager</v>
      </c>
      <c r="F16">
        <f>IF(A16="","", IFERROR(INDEX('Risk Register'!I:I, MATCH(A16, 'Risk Register'!B:B, 0)), ""))</f>
        <v>3</v>
      </c>
      <c r="G16" t="s">
        <v>728</v>
      </c>
      <c r="H16" s="34" t="s">
        <v>283</v>
      </c>
      <c r="I16" s="28" t="str">
        <f>IF(J16="","", IFERROR(INDEX('Statement of Applicability'!C:C, MATCH(J16, 'Statement of Applicability'!B:B, 0)), ""))</f>
        <v>Information about technical vulnerabilities of information systems in use shall be obtained, the organization's exposure to such vulnerabilities shall be evaluated and appropriate measures shall be taken.</v>
      </c>
      <c r="J16" s="28" t="str">
        <f>'Statement of Applicability'!B84</f>
        <v>8.8 Management of technical vulnerabilities</v>
      </c>
      <c r="K16" s="28" t="s">
        <v>1225</v>
      </c>
      <c r="L16" s="28"/>
      <c r="M16" s="316">
        <v>45947</v>
      </c>
      <c r="N16" t="s">
        <v>387</v>
      </c>
      <c r="O16" t="s">
        <v>830</v>
      </c>
      <c r="P16" s="316">
        <v>45988</v>
      </c>
    </row>
    <row r="17" spans="1:16" ht="30.75">
      <c r="A17" s="4" t="str">
        <f>'Risk Register'!B17</f>
        <v>R016</v>
      </c>
      <c r="B17" t="str">
        <f>IF(A17="","",
    IF(COUNTIF('Risk Register'!B:B, A17)=0, "ERROR: Risk ID Not Found",
        INDEX('Risk Register'!A:A, MATCH(A17, 'Risk Register'!B:B, 0))
    )
)</f>
        <v>A008</v>
      </c>
      <c r="C17" t="str">
        <f>IF(A17="","", IFERROR(INDEX('Risk Register'!C:C, MATCH(A17, 'Risk Register'!B:B, 0)), ""))</f>
        <v>Company Website</v>
      </c>
      <c r="D17" t="str">
        <f>LEFT('Risk Register'!E17,FIND(".",'Risk Register'!E17,1))</f>
        <v>Distributed Denial of Service (DDoS) attacks that make the website unavailable.</v>
      </c>
      <c r="E17" t="str">
        <f>IF(A17="","", IFERROR(INDEX('Risk Register'!J:J, MATCH(A17, 'Risk Register'!B:B, 0)), ""))</f>
        <v>Data Protection and Risk Manager</v>
      </c>
      <c r="F17">
        <f>IF(A17="","", IFERROR(INDEX('Risk Register'!I:I, MATCH(A17, 'Risk Register'!B:B, 0)), ""))</f>
        <v>2</v>
      </c>
      <c r="G17" t="s">
        <v>729</v>
      </c>
      <c r="H17" s="34" t="s">
        <v>285</v>
      </c>
      <c r="I17" s="28" t="str">
        <f>IF(J17="","", IFERROR(INDEX('Statement of Applicability'!C:C, MATCH(J17, 'Statement of Applicability'!B:B, 0)), ""))</f>
        <v>Networks and network devices shall be secured, managed and controlled to protect information in systems and applications.</v>
      </c>
      <c r="J17" s="28" t="str">
        <f>'Statement of Applicability'!B96</f>
        <v>8.20 Networks security</v>
      </c>
      <c r="K17" s="28" t="s">
        <v>1225</v>
      </c>
      <c r="L17" s="28"/>
      <c r="M17" s="316">
        <v>45947</v>
      </c>
      <c r="N17" t="s">
        <v>387</v>
      </c>
      <c r="O17" t="s">
        <v>830</v>
      </c>
      <c r="P17" s="316">
        <v>45988</v>
      </c>
    </row>
    <row r="18" spans="1:16" ht="60.75">
      <c r="A18" s="4" t="str">
        <f>'Risk Register'!B18</f>
        <v>R017</v>
      </c>
      <c r="B18" t="str">
        <f>IF(A18="","",
    IF(COUNTIF('Risk Register'!B:B, A18)=0, "ERROR: Risk ID Not Found",
        INDEX('Risk Register'!A:A, MATCH(A18, 'Risk Register'!B:B, 0))
    )
)</f>
        <v>A009</v>
      </c>
      <c r="C18" t="str">
        <f>IF(A18="","", IFERROR(INDEX('Risk Register'!C:C, MATCH(A18, 'Risk Register'!B:B, 0)), ""))</f>
        <v>Contractors</v>
      </c>
      <c r="D18" t="str">
        <f>LEFT('Risk Register'!E18,FIND(".",'Risk Register'!E18,1))</f>
        <v>Unauthorized access or misuse of company resources by contractors.</v>
      </c>
      <c r="E18" t="str">
        <f>IF(A18="","", IFERROR(INDEX('Risk Register'!J:J, MATCH(A18, 'Risk Register'!B:B, 0)), ""))</f>
        <v>Data Protection and Risk Manager</v>
      </c>
      <c r="F18" s="113">
        <f>IF(A18="","", IFERROR(INDEX('Risk Register'!I:I, MATCH(A18, 'Risk Register'!B:B, 0)), ""))</f>
        <v>4</v>
      </c>
      <c r="G18" t="s">
        <v>728</v>
      </c>
      <c r="H18" s="34" t="s">
        <v>287</v>
      </c>
      <c r="I18" s="28" t="str">
        <f>IF(J18="","", IFERROR(INDEX('Statement of Applicability'!C:C, MATCH(J18, 'Statement of Applicability'!B:B, 0)), ""))</f>
        <v>Access rights to information and other associated assets shall be provisioned, reviewed, modified and removed in accordance with the organization's topic-specific policy on and rules for access control.</v>
      </c>
      <c r="J18" s="28" t="str">
        <f>'Statement of Applicability'!B32</f>
        <v>5.18 Access rights</v>
      </c>
      <c r="K18" s="243" t="s">
        <v>1221</v>
      </c>
      <c r="L18" s="28" t="s">
        <v>1222</v>
      </c>
      <c r="M18" s="316">
        <v>45947</v>
      </c>
      <c r="N18" t="s">
        <v>387</v>
      </c>
      <c r="O18" t="s">
        <v>830</v>
      </c>
      <c r="P18" s="316">
        <v>45988</v>
      </c>
    </row>
    <row r="19" spans="1:16" ht="45.75">
      <c r="A19" s="4" t="str">
        <f>'Risk Register'!B19</f>
        <v>R018</v>
      </c>
      <c r="B19" t="str">
        <f>IF(A19="","",
    IF(COUNTIF('Risk Register'!B:B, A19)=0, "ERROR: Risk ID Not Found",
        INDEX('Risk Register'!A:A, MATCH(A19, 'Risk Register'!B:B, 0))
    )
)</f>
        <v>A009</v>
      </c>
      <c r="C19" t="str">
        <f>IF(A19="","", IFERROR(INDEX('Risk Register'!C:C, MATCH(A19, 'Risk Register'!B:B, 0)), ""))</f>
        <v>Contractors</v>
      </c>
      <c r="D19" s="28" t="str">
        <f>LEFT('Risk Register'!E19,FIND(".",'Risk Register'!E19,1))</f>
        <v>Contractors exposing sensitive data to third parties unintentionally or maliciously.</v>
      </c>
      <c r="E19" t="str">
        <f>IF(A19="","", IFERROR(INDEX('Risk Register'!J:J, MATCH(A19, 'Risk Register'!B:B, 0)), ""))</f>
        <v>Data Protection and Risk Manager</v>
      </c>
      <c r="F19">
        <f>IF(A19="","", IFERROR(INDEX('Risk Register'!I:I, MATCH(A19, 'Risk Register'!B:B, 0)), ""))</f>
        <v>6</v>
      </c>
      <c r="G19" t="s">
        <v>728</v>
      </c>
      <c r="H19" s="34" t="s">
        <v>1243</v>
      </c>
      <c r="I19" s="28" t="str">
        <f>IF(J19="","", IFERROR(INDEX('Statement of Applicability'!C:C, MATCH(J19, 'Statement of Applicability'!B:B, 0)), ""))</f>
        <v>Data leakage prevention measures shall be applied to systems, networks and any other devices that process, store or transmit sensitive information.</v>
      </c>
      <c r="J19" s="28" t="str">
        <f>'Statement of Applicability'!B88</f>
        <v>8.12 Data leakage prevention</v>
      </c>
      <c r="K19" s="28" t="s">
        <v>1244</v>
      </c>
      <c r="L19" s="28" t="s">
        <v>1245</v>
      </c>
      <c r="M19" s="316">
        <v>45947</v>
      </c>
      <c r="N19" t="s">
        <v>387</v>
      </c>
      <c r="O19" t="s">
        <v>830</v>
      </c>
      <c r="P19" s="316">
        <v>45988</v>
      </c>
    </row>
    <row r="20" spans="1:16" ht="76.5">
      <c r="A20" s="4" t="str">
        <f>'Risk Register'!B20</f>
        <v>R019</v>
      </c>
      <c r="B20" t="str">
        <f>IF(A20="","",
    IF(COUNTIF('Risk Register'!B:B, A20)=0, "ERROR: Risk ID Not Found",
        INDEX('Risk Register'!A:A, MATCH(A20, 'Risk Register'!B:B, 0))
    )
)</f>
        <v>A010</v>
      </c>
      <c r="C20" t="str">
        <f>IF(A20="","", IFERROR(INDEX('Risk Register'!C:C, MATCH(A20, 'Risk Register'!B:B, 0)), ""))</f>
        <v>Employees</v>
      </c>
      <c r="D20" t="str">
        <f>LEFT('Risk Register'!E20,FIND(".",'Risk Register'!E20,1))</f>
        <v>Accidental data loss or disclosure due to human error.</v>
      </c>
      <c r="E20" t="str">
        <f>IF(A20="","", IFERROR(INDEX('Risk Register'!J:J, MATCH(A20, 'Risk Register'!B:B, 0)), ""))</f>
        <v>Data Protection and Risk Manager</v>
      </c>
      <c r="F20" s="138">
        <f>IF(A20="","", IFERROR(INDEX('Risk Register'!I:I, MATCH(A20, 'Risk Register'!B:B, 0)), ""))</f>
        <v>6</v>
      </c>
      <c r="G20" t="s">
        <v>728</v>
      </c>
      <c r="H20" s="34" t="s">
        <v>289</v>
      </c>
      <c r="I20" s="28" t="str">
        <f>IF(J20="","", IFERROR(INDEX('Statement of Applicability'!C:C, MATCH(J20, 'Statement of Applicability'!B:B, 0)), ""))</f>
        <v>Records shall be protected from loss, destruction, falsification, unauthorized access and unauthorized release.</v>
      </c>
      <c r="J20" s="28" t="str">
        <f>'Statement of Applicability'!B47</f>
        <v>5.33 Protection of records</v>
      </c>
      <c r="K20" s="28" t="s">
        <v>1246</v>
      </c>
      <c r="L20" s="28" t="s">
        <v>1247</v>
      </c>
      <c r="M20" s="316">
        <v>45947</v>
      </c>
      <c r="N20" t="s">
        <v>387</v>
      </c>
      <c r="O20" t="s">
        <v>830</v>
      </c>
      <c r="P20" s="316">
        <v>45988</v>
      </c>
    </row>
    <row r="21" spans="1:16" ht="76.5">
      <c r="A21" s="4" t="str">
        <f>'Risk Register'!B21</f>
        <v>R020</v>
      </c>
      <c r="B21" t="str">
        <f>IF(A21="","",
    IF(COUNTIF('Risk Register'!B:B, A21)=0, "ERROR: Risk ID Not Found",
        INDEX('Risk Register'!A:A, MATCH(A21, 'Risk Register'!B:B, 0))
    )
)</f>
        <v>A010</v>
      </c>
      <c r="C21" t="str">
        <f>IF(A21="","", IFERROR(INDEX('Risk Register'!C:C, MATCH(A21, 'Risk Register'!B:B, 0)), ""))</f>
        <v>Employees</v>
      </c>
      <c r="D21" t="str">
        <f>LEFT('Risk Register'!E21,FIND(".",'Risk Register'!E21,1))</f>
        <v>Social engineering or phishing attacks targeting employees.</v>
      </c>
      <c r="E21" t="str">
        <f>IF(A21="","", IFERROR(INDEX('Risk Register'!J:J, MATCH(A21, 'Risk Register'!B:B, 0)), ""))</f>
        <v>Data Protection and Risk Manager</v>
      </c>
      <c r="F21" s="138">
        <f>IF(A21="","", IFERROR(INDEX('Risk Register'!I:I, MATCH(A21, 'Risk Register'!B:B, 0)), ""))</f>
        <v>6</v>
      </c>
      <c r="G21" t="s">
        <v>728</v>
      </c>
      <c r="H21" s="315" t="s">
        <v>1248</v>
      </c>
      <c r="I21" s="28" t="str">
        <f>IF(J21="","", IFERROR(INDEX('Statement of Applicability'!C:C, MATCH(J21, 'Statement of Applicability'!B:B, 0)), ""))</f>
        <v>Personnel of the organization and relevant interested parties shall receive appropriate information security awareness, education and training and regular updates of the organization's information security policy, topic-specific policies and procedures, as relevant for their job function.</v>
      </c>
      <c r="J21" s="28" t="str">
        <f>'Statement of Applicability'!B55</f>
        <v>6.3 Information security awareness, education and training</v>
      </c>
      <c r="K21" s="28" t="s">
        <v>1225</v>
      </c>
      <c r="L21" s="28"/>
      <c r="M21" s="316">
        <v>45947</v>
      </c>
      <c r="N21" t="s">
        <v>387</v>
      </c>
      <c r="O21" t="s">
        <v>830</v>
      </c>
      <c r="P21" s="316">
        <v>45988</v>
      </c>
    </row>
    <row r="22" spans="1:16" ht="45.75">
      <c r="A22" s="4" t="str">
        <f>'Risk Register'!B22</f>
        <v>R021</v>
      </c>
      <c r="B22" t="str">
        <f>IF(A22="","",
    IF(COUNTIF('Risk Register'!B:B, A22)=0, "ERROR: Risk ID Not Found",
        INDEX('Risk Register'!A:A, MATCH(A22, 'Risk Register'!B:B, 0))
    )
)</f>
        <v>A011</v>
      </c>
      <c r="C22" s="28" t="str">
        <f>IF(A22="","", IFERROR(INDEX('Risk Register'!C:C, MATCH(A22, 'Risk Register'!B:B, 0)), ""))</f>
        <v>Personal phones used for work purpose</v>
      </c>
      <c r="D22" t="str">
        <f>LEFT('Risk Register'!E22,FIND(".",'Risk Register'!E22,1))</f>
        <v>Loss or theft of mobile devices with sensitive company data.</v>
      </c>
      <c r="E22" t="str">
        <f>IF(A22="","", IFERROR(INDEX('Risk Register'!J:J, MATCH(A22, 'Risk Register'!B:B, 0)), ""))</f>
        <v>Data Protection and Risk Manager</v>
      </c>
      <c r="F22">
        <f>IF(A22="","", IFERROR(INDEX('Risk Register'!I:I, MATCH(A22, 'Risk Register'!B:B, 0)), ""))</f>
        <v>3</v>
      </c>
      <c r="G22" t="s">
        <v>728</v>
      </c>
      <c r="H22" s="34" t="s">
        <v>1234</v>
      </c>
      <c r="I22" s="28" t="str">
        <f>IF(J22="","", IFERROR(INDEX('Statement of Applicability'!C:C, MATCH(J22, 'Statement of Applicability'!B:B, 0)), ""))</f>
        <v>Information stored on, processed by or accessible via user end point devices shall be protected.</v>
      </c>
      <c r="J22" s="28" t="str">
        <f>'Statement of Applicability'!B77</f>
        <v>8.1 User endpoint devices</v>
      </c>
      <c r="K22" s="28" t="s">
        <v>1249</v>
      </c>
      <c r="L22" s="28" t="s">
        <v>1235</v>
      </c>
      <c r="M22" s="316">
        <v>45947</v>
      </c>
      <c r="N22" t="s">
        <v>387</v>
      </c>
      <c r="O22" t="s">
        <v>830</v>
      </c>
      <c r="P22" s="316">
        <v>45988</v>
      </c>
    </row>
    <row r="23" spans="1:16" ht="30.75">
      <c r="A23" s="4" t="str">
        <f>'Risk Register'!B23</f>
        <v>R022</v>
      </c>
      <c r="B23" t="str">
        <f>IF(A23="","",
    IF(COUNTIF('Risk Register'!B:B, A23)=0, "ERROR: Risk ID Not Found",
        INDEX('Risk Register'!A:A, MATCH(A23, 'Risk Register'!B:B, 0))
    )
)</f>
        <v>A011</v>
      </c>
      <c r="C23" s="28" t="str">
        <f>IF(A23="","", IFERROR(INDEX('Risk Register'!C:C, MATCH(A23, 'Risk Register'!B:B, 0)), ""))</f>
        <v>Personal phones used for work purpose</v>
      </c>
      <c r="D23" t="str">
        <f>LEFT('Risk Register'!E23,FIND(".",'Risk Register'!E23,1))</f>
        <v>Malware infections on personal phones leading to data compromise.</v>
      </c>
      <c r="E23" t="str">
        <f>IF(A23="","", IFERROR(INDEX('Risk Register'!J:J, MATCH(A23, 'Risk Register'!B:B, 0)), ""))</f>
        <v>Data Protection and Risk Manager</v>
      </c>
      <c r="F23">
        <f>IF(A23="","", IFERROR(INDEX('Risk Register'!I:I, MATCH(A23, 'Risk Register'!B:B, 0)), ""))</f>
        <v>2</v>
      </c>
      <c r="G23" t="s">
        <v>728</v>
      </c>
      <c r="H23" s="315" t="s">
        <v>1236</v>
      </c>
      <c r="I23" s="28" t="str">
        <f>IF(J23="","", IFERROR(INDEX('Statement of Applicability'!C:C, MATCH(J23, 'Statement of Applicability'!B:B, 0)), ""))</f>
        <v>Protection against malware shall be implemented and supported by appropriate user awareness.</v>
      </c>
      <c r="J23" s="28" t="str">
        <f>'Statement of Applicability'!B83</f>
        <v>8.7 Protection against malware</v>
      </c>
      <c r="K23" s="28" t="s">
        <v>1225</v>
      </c>
      <c r="L23" s="28"/>
      <c r="M23" s="316">
        <v>45947</v>
      </c>
      <c r="N23" t="s">
        <v>387</v>
      </c>
      <c r="O23" t="s">
        <v>830</v>
      </c>
      <c r="P23" s="316">
        <v>45988</v>
      </c>
    </row>
    <row r="24" spans="1:16" ht="45.75">
      <c r="A24" s="4" t="str">
        <f>'Risk Register'!B24</f>
        <v>R023</v>
      </c>
      <c r="B24" t="str">
        <f>IF(A24="","",
    IF(COUNTIF('Risk Register'!B:B, A24)=0, "ERROR: Risk ID Not Found",
        INDEX('Risk Register'!A:A, MATCH(A24, 'Risk Register'!B:B, 0))
    )
)</f>
        <v>A012</v>
      </c>
      <c r="C24" t="str">
        <f>IF(A24="","", IFERROR(INDEX('Risk Register'!C:C, MATCH(A24, 'Risk Register'!B:B, 0)), ""))</f>
        <v>Odoo Platform</v>
      </c>
      <c r="D24" t="str">
        <f>LEFT('Risk Register'!E24,FIND(".",'Risk Register'!E24,1))</f>
        <v>Unauthorized access to the platform or its data.</v>
      </c>
      <c r="E24" t="str">
        <f>IF(A24="","", IFERROR(INDEX('Risk Register'!J:J, MATCH(A24, 'Risk Register'!B:B, 0)), ""))</f>
        <v>Data Protection and Risk Manager</v>
      </c>
      <c r="F24">
        <f>IF(A24="","", IFERROR(INDEX('Risk Register'!I:I, MATCH(A24, 'Risk Register'!B:B, 0)), ""))</f>
        <v>3</v>
      </c>
      <c r="G24" t="s">
        <v>728</v>
      </c>
      <c r="H24" s="34" t="s">
        <v>1250</v>
      </c>
      <c r="I24" s="28" t="str">
        <f>IF(J24="","", IFERROR(INDEX('Statement of Applicability'!C:C, MATCH(J24, 'Statement of Applicability'!B:B, 0)), ""))</f>
        <v>Access to information and other associated assets shall be restricted in accordance with the established topic-specific policy on access control.</v>
      </c>
      <c r="J24" s="28" t="str">
        <f>'Statement of Applicability'!B79</f>
        <v>8.3 Information access restriction</v>
      </c>
      <c r="K24" s="28" t="s">
        <v>1221</v>
      </c>
      <c r="L24" s="28" t="s">
        <v>1222</v>
      </c>
      <c r="M24" s="316">
        <v>45947</v>
      </c>
      <c r="N24" t="s">
        <v>387</v>
      </c>
      <c r="O24" t="s">
        <v>830</v>
      </c>
      <c r="P24" s="316">
        <v>45988</v>
      </c>
    </row>
    <row r="25" spans="1:16" ht="45.75">
      <c r="A25" s="4" t="str">
        <f>'Risk Register'!B25</f>
        <v>R024</v>
      </c>
      <c r="B25" t="str">
        <f>IF(A25="","",
    IF(COUNTIF('Risk Register'!B:B, A25)=0, "ERROR: Risk ID Not Found",
        INDEX('Risk Register'!A:A, MATCH(A25, 'Risk Register'!B:B, 0))
    )
)</f>
        <v>A012</v>
      </c>
      <c r="C25" t="str">
        <f>IF(A25="","", IFERROR(INDEX('Risk Register'!C:C, MATCH(A25, 'Risk Register'!B:B, 0)), ""))</f>
        <v>Odoo Platform</v>
      </c>
      <c r="D25" t="str">
        <f>LEFT('Risk Register'!E25,FIND(".",'Risk Register'!E25,1))</f>
        <v>Data leakage or unauthorized modification of Odoo records.</v>
      </c>
      <c r="E25" t="str">
        <f>IF(A25="","", IFERROR(INDEX('Risk Register'!J:J, MATCH(A25, 'Risk Register'!B:B, 0)), ""))</f>
        <v>Data Protection and Risk Manager</v>
      </c>
      <c r="F25" s="138">
        <f>IF(A25="","", IFERROR(INDEX('Risk Register'!I:I, MATCH(A25, 'Risk Register'!B:B, 0)), ""))</f>
        <v>6</v>
      </c>
      <c r="G25" t="s">
        <v>728</v>
      </c>
      <c r="H25" s="34" t="s">
        <v>1251</v>
      </c>
      <c r="I25" s="28" t="str">
        <f>IF(J25="","", IFERROR(INDEX('Statement of Applicability'!C:C, MATCH(J25, 'Statement of Applicability'!B:B, 0)), ""))</f>
        <v>Data leakage prevention measures shall be applied to systems, networks and any other devices that process, store or transmit sensitive information.</v>
      </c>
      <c r="J25" s="28" t="str">
        <f>'Statement of Applicability'!B88</f>
        <v>8.12 Data leakage prevention</v>
      </c>
      <c r="K25" s="28" t="s">
        <v>1221</v>
      </c>
      <c r="L25" s="28" t="s">
        <v>1222</v>
      </c>
      <c r="M25" s="316">
        <v>45947</v>
      </c>
      <c r="N25" t="s">
        <v>387</v>
      </c>
      <c r="O25" t="s">
        <v>830</v>
      </c>
      <c r="P25" s="316">
        <v>45988</v>
      </c>
    </row>
    <row r="26" spans="1:16" ht="45.75">
      <c r="A26" s="4" t="str">
        <f>'Risk Register'!B26</f>
        <v>R025</v>
      </c>
      <c r="B26" t="str">
        <f>IF(A26="","",
    IF(COUNTIF('Risk Register'!B:B, A26)=0, "ERROR: Risk ID Not Found",
        INDEX('Risk Register'!A:A, MATCH(A26, 'Risk Register'!B:B, 0))
    )
)</f>
        <v>A013</v>
      </c>
      <c r="C26" t="str">
        <f>IF(A26="","", IFERROR(INDEX('Risk Register'!C:C, MATCH(A26, 'Risk Register'!B:B, 0)), ""))</f>
        <v>Azure Cloud Services</v>
      </c>
      <c r="D26" t="str">
        <f>LEFT('Risk Register'!E26,FIND(".",'Risk Register'!E26,1))</f>
        <v>Unauthorized access to cloud resources via compromised credentials.</v>
      </c>
      <c r="E26" t="str">
        <f>IF(A26="","", IFERROR(INDEX('Risk Register'!J:J, MATCH(A26, 'Risk Register'!B:B, 0)), ""))</f>
        <v>Data Protection and Risk Manager</v>
      </c>
      <c r="F26">
        <f>IF(A26="","", IFERROR(INDEX('Risk Register'!I:I, MATCH(A26, 'Risk Register'!B:B, 0)), ""))</f>
        <v>3</v>
      </c>
      <c r="G26" t="s">
        <v>728</v>
      </c>
      <c r="H26" s="34" t="s">
        <v>1252</v>
      </c>
      <c r="I26" s="28" t="str">
        <f>IF(J26="","", IFERROR(INDEX('Statement of Applicability'!C:C, MATCH(J26, 'Statement of Applicability'!B:B, 0)), ""))</f>
        <v>Secure authentication technologies and procedures shall be implemented based on information access restrictions and the topic-specific policy on access control.</v>
      </c>
      <c r="J26" s="28" t="str">
        <f>'Statement of Applicability'!B81</f>
        <v>8.5 Secure authentication</v>
      </c>
      <c r="K26" s="28" t="s">
        <v>1225</v>
      </c>
      <c r="L26" s="28"/>
      <c r="M26" s="316">
        <v>45947</v>
      </c>
      <c r="N26" t="s">
        <v>387</v>
      </c>
      <c r="O26" t="s">
        <v>830</v>
      </c>
      <c r="P26" s="316">
        <v>45988</v>
      </c>
    </row>
    <row r="27" spans="1:16" ht="45.75">
      <c r="A27" s="4" t="str">
        <f>'Risk Register'!B27</f>
        <v>R026</v>
      </c>
      <c r="B27" t="str">
        <f>IF(A27="","",
    IF(COUNTIF('Risk Register'!B:B, A27)=0, "ERROR: Risk ID Not Found",
        INDEX('Risk Register'!A:A, MATCH(A27, 'Risk Register'!B:B, 0))
    )
)</f>
        <v>A013</v>
      </c>
      <c r="C27" t="str">
        <f>IF(A27="","", IFERROR(INDEX('Risk Register'!C:C, MATCH(A27, 'Risk Register'!B:B, 0)), ""))</f>
        <v>Azure Cloud Services</v>
      </c>
      <c r="D27" t="str">
        <f>LEFT('Risk Register'!E27,FIND(".",'Risk Register'!E27,1))</f>
        <v>Service disruptions or outages affecting business continuity.</v>
      </c>
      <c r="E27" t="str">
        <f>IF(A27="","", IFERROR(INDEX('Risk Register'!J:J, MATCH(A27, 'Risk Register'!B:B, 0)), ""))</f>
        <v>Data Protection and Risk Manager</v>
      </c>
      <c r="F27" s="113">
        <f>IF(A27="","", IFERROR(INDEX('Risk Register'!I:I, MATCH(A27, 'Risk Register'!B:B, 0)), ""))</f>
        <v>4</v>
      </c>
      <c r="G27" t="s">
        <v>728</v>
      </c>
      <c r="H27" s="34" t="s">
        <v>1253</v>
      </c>
      <c r="I27" s="28" t="str">
        <f>IF(J27="","", IFERROR(INDEX('Statement of Applicability'!C:C, MATCH(J27, 'Statement of Applicability'!B:B, 0)), ""))</f>
        <v>ICT readiness shall be planned, implemented, maintained and tested based on business continuity objectives and ICT continuity requirements.</v>
      </c>
      <c r="J27" s="28" t="str">
        <f>'Statement of Applicability'!B44</f>
        <v>5.30 ICT readiness for business continuity</v>
      </c>
      <c r="K27" s="28" t="s">
        <v>1225</v>
      </c>
      <c r="L27" s="28"/>
      <c r="M27" s="316">
        <v>45981</v>
      </c>
      <c r="N27" t="s">
        <v>387</v>
      </c>
      <c r="O27" t="s">
        <v>830</v>
      </c>
      <c r="P27" s="316">
        <v>45988</v>
      </c>
    </row>
    <row r="28" spans="1:16" ht="76.5">
      <c r="A28" s="4" t="str">
        <f>'Risk Register'!B28</f>
        <v>R027</v>
      </c>
      <c r="B28" t="str">
        <f>IF(A28="","",
    IF(COUNTIF('Risk Register'!B:B, A28)=0, "ERROR: Risk ID Not Found",
        INDEX('Risk Register'!A:A, MATCH(A28, 'Risk Register'!B:B, 0))
    )
)</f>
        <v>A014</v>
      </c>
      <c r="C28" t="str">
        <f>IF(A28="","", IFERROR(INDEX('Risk Register'!C:C, MATCH(A28, 'Risk Register'!B:B, 0)), ""))</f>
        <v>Microsoft 365 &amp; SharePoint</v>
      </c>
      <c r="D28" s="28" t="str">
        <f>LEFT('Risk Register'!E28,FIND(".",'Risk Register'!E28,1))</f>
        <v>Data leaks or breaches from improperly configured SharePoint sharing settings.</v>
      </c>
      <c r="E28" t="str">
        <f>IF(A28="","", IFERROR(INDEX('Risk Register'!J:J, MATCH(A28, 'Risk Register'!B:B, 0)), ""))</f>
        <v>Data Protection and Risk Manager</v>
      </c>
      <c r="F28">
        <f>IF(A28="","", IFERROR(INDEX('Risk Register'!I:I, MATCH(A28, 'Risk Register'!B:B, 0)), ""))</f>
        <v>3</v>
      </c>
      <c r="G28" t="s">
        <v>728</v>
      </c>
      <c r="H28" s="34" t="s">
        <v>1254</v>
      </c>
      <c r="I28" s="28" t="str">
        <f>IF(J28="","", IFERROR(INDEX('Statement of Applicability'!C:C, MATCH(J28, 'Statement of Applicability'!B:B, 0)), ""))</f>
        <v>Access rights to information and other associated assets shall be provisioned, reviewed, modified and removed in accordance with the organization's topic-specific policy on and rules for access control.</v>
      </c>
      <c r="J28" s="28" t="str">
        <f>'Statement of Applicability'!B32</f>
        <v>5.18 Access rights</v>
      </c>
      <c r="K28" s="28" t="s">
        <v>1246</v>
      </c>
      <c r="L28" s="28" t="s">
        <v>1247</v>
      </c>
      <c r="M28" s="316">
        <v>45960</v>
      </c>
      <c r="N28" t="s">
        <v>387</v>
      </c>
      <c r="O28" t="s">
        <v>830</v>
      </c>
      <c r="P28" s="316">
        <v>45988</v>
      </c>
    </row>
    <row r="29" spans="1:16" ht="76.5">
      <c r="A29" s="4" t="str">
        <f>'Risk Register'!B29</f>
        <v>R028</v>
      </c>
      <c r="B29" t="str">
        <f>IF(A29="","",
    IF(COUNTIF('Risk Register'!B:B, A29)=0, "ERROR: Risk ID Not Found",
        INDEX('Risk Register'!A:A, MATCH(A29, 'Risk Register'!B:B, 0))
    )
)</f>
        <v>A014</v>
      </c>
      <c r="C29" t="str">
        <f>IF(A29="","", IFERROR(INDEX('Risk Register'!C:C, MATCH(A29, 'Risk Register'!B:B, 0)), ""))</f>
        <v>Microsoft 365 &amp; SharePoint</v>
      </c>
      <c r="D29" t="str">
        <f>LEFT('Risk Register'!E29,FIND(".",'Risk Register'!E29,1))</f>
        <v>Phishing or social engineering attacks targeting Microsoft 365 users.</v>
      </c>
      <c r="E29" t="str">
        <f>IF(A29="","", IFERROR(INDEX('Risk Register'!J:J, MATCH(A29, 'Risk Register'!B:B, 0)), ""))</f>
        <v>Data Protection and Risk Manager</v>
      </c>
      <c r="F29" s="138">
        <f>IF(A29="","", IFERROR(INDEX('Risk Register'!I:I, MATCH(A29, 'Risk Register'!B:B, 0)), ""))</f>
        <v>6</v>
      </c>
      <c r="G29" t="s">
        <v>728</v>
      </c>
      <c r="H29" s="34" t="s">
        <v>1255</v>
      </c>
      <c r="I29" s="28" t="str">
        <f>IF(J29="","", IFERROR(INDEX('Statement of Applicability'!C:C, MATCH(J29, 'Statement of Applicability'!B:B, 0)), ""))</f>
        <v>Personnel of the organization and relevant interested parties shall receive appropriate information security awareness, education and training and regular updates of the organization's information security policy, topic-specific policies and procedures, as relevant for their job function.</v>
      </c>
      <c r="J29" s="28" t="str">
        <f>'Statement of Applicability'!B55</f>
        <v>6.3 Information security awareness, education and training</v>
      </c>
      <c r="K29" s="28" t="s">
        <v>1225</v>
      </c>
      <c r="L29" s="28"/>
      <c r="M29" s="316">
        <v>45960</v>
      </c>
      <c r="N29" t="s">
        <v>387</v>
      </c>
      <c r="O29" t="s">
        <v>830</v>
      </c>
      <c r="P29" s="316">
        <v>45988</v>
      </c>
    </row>
    <row r="30" spans="1:16" ht="76.5">
      <c r="A30" s="4" t="str">
        <f>'Risk Register'!B30</f>
        <v>R029</v>
      </c>
      <c r="B30" t="str">
        <f>IF(A30="","",
    IF(COUNTIF('Risk Register'!B:B, A30)=0, "ERROR: Risk ID Not Found",
        INDEX('Risk Register'!A:A, MATCH(A30, 'Risk Register'!B:B, 0))
    )
)</f>
        <v>A015</v>
      </c>
      <c r="C30" s="28" t="str">
        <f>IF(A30="","", IFERROR(INDEX('Risk Register'!C:C, MATCH(A30, 'Risk Register'!B:B, 0)), ""))</f>
        <v>Microsoft 365 &amp; SharePoint, Azure and OneDrive</v>
      </c>
      <c r="D30" s="28" t="str">
        <f>LEFT('Risk Register'!E30,FIND(".",'Risk Register'!E30,1))</f>
        <v>Threats and deficiencies gathered using MS Defender so that identified vulnerabilities may be mitigated.</v>
      </c>
      <c r="E30" t="str">
        <f>IF(A30="","", IFERROR(INDEX('Risk Register'!J:J, MATCH(A30, 'Risk Register'!B:B, 0)), ""))</f>
        <v>Data Protection and Risk Manager</v>
      </c>
      <c r="F30" s="138">
        <f>IF(A30="","", IFERROR(INDEX('Risk Register'!I:I, MATCH(A30, 'Risk Register'!B:B, 0)), ""))</f>
        <v>6</v>
      </c>
      <c r="G30" t="s">
        <v>728</v>
      </c>
      <c r="H30" s="34" t="s">
        <v>1256</v>
      </c>
      <c r="I30" s="28" t="str">
        <f>IF(J30="","", IFERROR(INDEX('Statement of Applicability'!C:C, MATCH(J30, 'Statement of Applicability'!B:B, 0)), ""))</f>
        <v>Information about technical vulnerabilities of information systems in use shall be obtained, the organization's exposure to such vulnerabilities shall be evaluated and appropriate measures shall be taken.</v>
      </c>
      <c r="J30" s="28" t="str">
        <f>'Statement of Applicability'!B84</f>
        <v>8.8 Management of technical vulnerabilities</v>
      </c>
      <c r="K30" s="28" t="s">
        <v>1225</v>
      </c>
      <c r="L30" s="28"/>
      <c r="M30" s="316">
        <v>45960</v>
      </c>
      <c r="N30" t="s">
        <v>387</v>
      </c>
      <c r="O30" t="s">
        <v>830</v>
      </c>
      <c r="P30" s="316">
        <v>45988</v>
      </c>
    </row>
    <row r="31" spans="1:16" ht="60.75">
      <c r="A31" s="4" t="str">
        <f>'Risk Register'!B31</f>
        <v>R030</v>
      </c>
      <c r="B31" t="str">
        <f>IF(A31="","",
    IF(COUNTIF('Risk Register'!B:B, A31)=0, "ERROR: Risk ID Not Found",
        INDEX('Risk Register'!A:A, MATCH(A31, 'Risk Register'!B:B, 0))
    )
)</f>
        <v>A016</v>
      </c>
      <c r="C31" s="28" t="str">
        <f>IF(A31="","", IFERROR(INDEX('Risk Register'!C:C, MATCH(A31, 'Risk Register'!B:B, 0)), ""))</f>
        <v>ISMS compliance</v>
      </c>
      <c r="D31" s="28" t="str">
        <f>LEFT('Risk Register'!E31,FIND(".",'Risk Register'!E31,1))</f>
        <v>Inadequate reporting to shareholders during a breach.</v>
      </c>
      <c r="E31" t="str">
        <f>IF(A31="","", IFERROR(INDEX('Risk Register'!J:J, MATCH(A31, 'Risk Register'!B:B, 0)), ""))</f>
        <v>Information Security Officer</v>
      </c>
      <c r="F31" s="138">
        <f>IF(A31="","", IFERROR(INDEX('Risk Register'!I:I, MATCH(A31, 'Risk Register'!B:B, 0)), ""))</f>
        <v>6</v>
      </c>
      <c r="G31" t="s">
        <v>728</v>
      </c>
      <c r="H31" s="34" t="s">
        <v>1257</v>
      </c>
      <c r="I31" s="28" t="str">
        <f>IF(J31="","", IFERROR(INDEX('Statement of Applicability'!C:C, MATCH(J31, 'Statement of Applicability'!B:B, 0)), ""))</f>
        <v>Legal, statutory, regulatory and contractual requirements relevant to information security and the organization's approach to meet these requirements shall be identified, documented and kept up to date.</v>
      </c>
      <c r="J31" s="28" t="str">
        <f>'Statement of Applicability'!B45</f>
        <v>5.31 Legal, statutory, regulatory and contractual requirements</v>
      </c>
      <c r="K31" s="28" t="s">
        <v>1225</v>
      </c>
      <c r="L31" s="28"/>
      <c r="M31" s="316">
        <v>45981</v>
      </c>
      <c r="N31" t="s">
        <v>387</v>
      </c>
      <c r="O31" t="s">
        <v>830</v>
      </c>
      <c r="P31" s="316">
        <v>45988</v>
      </c>
    </row>
    <row r="32" spans="1:16" ht="60.75">
      <c r="A32" s="4" t="str">
        <f>'Risk Register'!B32</f>
        <v>R031</v>
      </c>
      <c r="B32" t="str">
        <f>IF(A32="","",
    IF(COUNTIF('Risk Register'!B:B, A32)=0, "ERROR: Risk ID Not Found",
        INDEX('Risk Register'!A:A, MATCH(A32, 'Risk Register'!B:B, 0))
    )
)</f>
        <v>A017</v>
      </c>
      <c r="C32" s="28" t="str">
        <f>IF(A32="","", IFERROR(INDEX('Risk Register'!C:C, MATCH(A32, 'Risk Register'!B:B, 0)), ""))</f>
        <v>Risk Communications Matrix - ISMS Workbook</v>
      </c>
      <c r="D32" s="28" t="str">
        <f>LEFT('Risk Register'!E32,FIND(".",'Risk Register'!E32,1))</f>
        <v>Non-compliance with GDPR, national and industry privacy legislation/requirements.</v>
      </c>
      <c r="E32" t="str">
        <f>IF(A32="","", IFERROR(INDEX('Risk Register'!J:J, MATCH(A32, 'Risk Register'!B:B, 0)), ""))</f>
        <v>Information Security Officer</v>
      </c>
      <c r="F32" s="138">
        <f>IF(A32="","", IFERROR(INDEX('Risk Register'!I:I, MATCH(A32, 'Risk Register'!B:B, 0)), ""))</f>
        <v>2</v>
      </c>
      <c r="G32" t="s">
        <v>728</v>
      </c>
      <c r="H32" s="34" t="s">
        <v>1258</v>
      </c>
      <c r="I32" s="28" t="str">
        <f>IF(J32="","", IFERROR(INDEX('Statement of Applicability'!C:C, MATCH(J32, 'Statement of Applicability'!B:B, 0)), ""))</f>
        <v>The organization shall plan and prepare for managing information security incidents by defining, establishing and communicating information security incident management processes, roles and responsibilities.</v>
      </c>
      <c r="J32" s="28" t="str">
        <f>'Statement of Applicability'!B38</f>
        <v>5.24 Information security incident management planning and preparation</v>
      </c>
      <c r="K32" s="28" t="s">
        <v>1225</v>
      </c>
      <c r="L32" s="28"/>
      <c r="M32" s="316">
        <v>45981</v>
      </c>
      <c r="N32" t="s">
        <v>387</v>
      </c>
      <c r="O32" t="s">
        <v>830</v>
      </c>
      <c r="P32" s="316">
        <v>45988</v>
      </c>
    </row>
    <row r="33" spans="1:16" ht="76.5">
      <c r="A33" s="4" t="str">
        <f>'Risk Register'!B33</f>
        <v>R032</v>
      </c>
      <c r="B33" t="str">
        <f>IF(A33="","",
    IF(COUNTIF('Risk Register'!B:B, A33)=0, "ERROR: Risk ID Not Found",
        INDEX('Risk Register'!A:A, MATCH(A33, 'Risk Register'!B:B, 0))
    )
)</f>
        <v>A018</v>
      </c>
      <c r="C33" s="28" t="str">
        <f>IF(A33="","", IFERROR(INDEX('Risk Register'!C:C, MATCH(A33, 'Risk Register'!B:B, 0)), ""))</f>
        <v>Microsoft 365 &amp; SharePoint, Azure and OneDrive</v>
      </c>
      <c r="D33" s="28" t="str">
        <f>LEFT('Risk Register'!E33,FIND(".",'Risk Register'!E33,1))</f>
        <v>Data leakage or unauthorized sharing of sensitive data stored in the cloud.</v>
      </c>
      <c r="E33" t="str">
        <f>IF(A33="","", IFERROR(INDEX('Risk Register'!J:J, MATCH(A33, 'Risk Register'!B:B, 0)), ""))</f>
        <v>Data Protection and Risk Manager</v>
      </c>
      <c r="F33" s="138">
        <f>IF(A33="","", IFERROR(INDEX('Risk Register'!I:I, MATCH(A33, 'Risk Register'!B:B, 0)), ""))</f>
        <v>3</v>
      </c>
      <c r="G33" t="s">
        <v>728</v>
      </c>
      <c r="H33" s="34" t="s">
        <v>1259</v>
      </c>
      <c r="I33" s="28" t="str">
        <f>IF(J33="","", IFERROR(INDEX('Statement of Applicability'!C:C, MATCH(J33, 'Statement of Applicability'!B:B, 0)), ""))</f>
        <v>Configurations, including security configurations, of hardware, software, services and networks shall be established, documented, implemented, monitored and reviewed.</v>
      </c>
      <c r="J33" s="28" t="str">
        <f>'Statement of Applicability'!B85</f>
        <v>8.9 Configuration management</v>
      </c>
      <c r="K33" s="28" t="s">
        <v>1246</v>
      </c>
      <c r="L33" s="28" t="s">
        <v>1247</v>
      </c>
      <c r="M33" s="316">
        <v>45981</v>
      </c>
      <c r="N33" t="s">
        <v>387</v>
      </c>
      <c r="O33" t="s">
        <v>830</v>
      </c>
      <c r="P33" s="316">
        <v>45988</v>
      </c>
    </row>
    <row r="34" spans="1:16" ht="48.75" customHeight="1">
      <c r="A34" s="4" t="str">
        <f>'Risk Register'!B34</f>
        <v>R033</v>
      </c>
      <c r="B34" t="str">
        <f>IF(A34="","",
    IF(COUNTIF('Risk Register'!B:B, A34)=0, "ERROR: Risk ID Not Found",
        INDEX('Risk Register'!A:A, MATCH(A34, 'Risk Register'!B:B, 0))
    )
)</f>
        <v>A019</v>
      </c>
      <c r="C34" s="28" t="str">
        <f>IF(A34="","", IFERROR(INDEX('Risk Register'!C:C, MATCH(A34, 'Risk Register'!B:B, 0)), ""))</f>
        <v>Financial data</v>
      </c>
      <c r="D34" s="28" t="str">
        <f>LEFT('Risk Register'!E34,FIND(".",'Risk Register'!E34,1))</f>
        <v>Misuse of private information available in financial data.</v>
      </c>
      <c r="E34" t="str">
        <f>IF(A34="","", IFERROR(INDEX('Risk Register'!J:J, MATCH(A34, 'Risk Register'!B:B, 0)), ""))</f>
        <v>Privacy Officer</v>
      </c>
      <c r="F34" s="138">
        <f>IF(A34="","", IFERROR(INDEX('Risk Register'!I:I, MATCH(A34, 'Risk Register'!B:B, 0)), ""))</f>
        <v>3</v>
      </c>
      <c r="G34" t="s">
        <v>728</v>
      </c>
      <c r="H34" t="s">
        <v>1260</v>
      </c>
      <c r="I34" s="28"/>
      <c r="J34" s="28"/>
      <c r="K34" s="28" t="str">
        <f>IF(L34="","", IFERROR(INDEX(#REF!, MATCH(L34,#REF!, 0)), ""))</f>
        <v/>
      </c>
      <c r="L34" s="28" t="s">
        <v>1261</v>
      </c>
      <c r="M34" s="316">
        <v>45985</v>
      </c>
      <c r="N34" t="s">
        <v>387</v>
      </c>
      <c r="O34" t="s">
        <v>830</v>
      </c>
      <c r="P34" s="316">
        <v>45988</v>
      </c>
    </row>
    <row r="35" spans="1:16" ht="51.75" customHeight="1">
      <c r="A35" s="4" t="str">
        <f>'Risk Register'!B35</f>
        <v>R034</v>
      </c>
      <c r="B35" t="str">
        <f>IF(A35="","",
    IF(COUNTIF('Risk Register'!B:B, A35)=0, "ERROR: Risk ID Not Found",
        INDEX('Risk Register'!A:A, MATCH(A35, 'Risk Register'!B:B, 0))
    )
)</f>
        <v>A020</v>
      </c>
      <c r="C35" s="28" t="str">
        <f>IF(A35="","", IFERROR(INDEX('Risk Register'!C:C, MATCH(A35, 'Risk Register'!B:B, 0)), ""))</f>
        <v>Private Information</v>
      </c>
      <c r="D35" s="28" t="str">
        <f>LEFT('Risk Register'!E35,FIND(".",'Risk Register'!E35,1))</f>
        <v>Using private information of employees/contractors/clients/partners in AI tools.</v>
      </c>
      <c r="E35" t="str">
        <f>IF(A35="","", IFERROR(INDEX('Risk Register'!J:J, MATCH(A35, 'Risk Register'!B:B, 0)), ""))</f>
        <v>Privacy Officer</v>
      </c>
      <c r="F35" s="138">
        <f>IF(A35="","", IFERROR(INDEX('Risk Register'!I:I, MATCH(A35, 'Risk Register'!B:B, 0)), ""))</f>
        <v>2</v>
      </c>
      <c r="G35" t="s">
        <v>728</v>
      </c>
      <c r="H35" s="28" t="s">
        <v>1262</v>
      </c>
      <c r="J35" s="28"/>
      <c r="K35" s="28" t="str">
        <f>IF(L35="","", IFERROR(INDEX(#REF!, MATCH(L35,#REF!, 0)), ""))</f>
        <v/>
      </c>
      <c r="L35" s="28" t="s">
        <v>1245</v>
      </c>
      <c r="M35" s="316">
        <v>45985</v>
      </c>
      <c r="N35" t="s">
        <v>387</v>
      </c>
      <c r="O35" t="s">
        <v>830</v>
      </c>
      <c r="P35" s="316">
        <v>45988</v>
      </c>
    </row>
    <row r="36" spans="1:16" ht="45.75">
      <c r="A36" s="4" t="str">
        <f>'Risk Register'!B36</f>
        <v>R035</v>
      </c>
      <c r="B36" t="str">
        <f>IF(A36="","",
    IF(COUNTIF('Risk Register'!B:B, A36)=0, "ERROR: Risk ID Not Found",
        INDEX('Risk Register'!A:A, MATCH(A36, 'Risk Register'!B:B, 0))
    )
)</f>
        <v>A020</v>
      </c>
      <c r="C36" s="28" t="str">
        <f>IF(A36="","", IFERROR(INDEX('Risk Register'!C:C, MATCH(A36, 'Risk Register'!B:B, 0)), ""))</f>
        <v>Private Information</v>
      </c>
      <c r="D36" s="28" t="str">
        <f>LEFT('Risk Register'!E36,FIND(".",'Risk Register'!E36,1))</f>
        <v>International transfer of PII.</v>
      </c>
      <c r="E36" t="str">
        <f>IF(A36="","", IFERROR(INDEX('Risk Register'!J:J, MATCH(A36, 'Risk Register'!B:B, 0)), ""))</f>
        <v>Privacy Officer</v>
      </c>
      <c r="F36" s="138">
        <f>IF(A36="","", IFERROR(INDEX('Risk Register'!I:I, MATCH(A36, 'Risk Register'!B:B, 0)), ""))</f>
        <v>3</v>
      </c>
      <c r="G36" t="s">
        <v>728</v>
      </c>
      <c r="H36" s="28" t="s">
        <v>1263</v>
      </c>
      <c r="K36" s="28" t="str">
        <f>IF(L36="","", IFERROR(INDEX(#REF!, MATCH(L36,#REF!, 0)), ""))</f>
        <v/>
      </c>
      <c r="L36" s="28" t="s">
        <v>1264</v>
      </c>
      <c r="M36" s="316">
        <v>45985</v>
      </c>
      <c r="N36" t="s">
        <v>387</v>
      </c>
      <c r="O36" t="s">
        <v>830</v>
      </c>
      <c r="P36" s="316">
        <v>45988</v>
      </c>
    </row>
    <row r="37" spans="1:16">
      <c r="B37" t="str">
        <f>IF(A37="","",
    IF(COUNTIF('Risk Register'!B:B, A37)=0, "ERROR: Risk ID Not Found",
        INDEX('Risk Register'!A:A, MATCH(A37, 'Risk Register'!B:B, 0))
    )
)</f>
        <v/>
      </c>
    </row>
    <row r="38" spans="1:16">
      <c r="B38" t="str">
        <f>IF(A38="","",
    IF(COUNTIF('Risk Register'!B:B, A38)=0, "ERROR: Risk ID Not Found",
        INDEX('Risk Register'!A:A, MATCH(A38, 'Risk Register'!B:B, 0))
    )
)</f>
        <v/>
      </c>
    </row>
    <row r="39" spans="1:16">
      <c r="B39" t="str">
        <f>IF(A39="","",
    IF(COUNTIF('Risk Register'!B:B, A39)=0, "ERROR: Risk ID Not Found",
        INDEX('Risk Register'!A:A, MATCH(A39, 'Risk Register'!B:B, 0))
    )
)</f>
        <v/>
      </c>
      <c r="I39" s="314"/>
      <c r="J39" s="32"/>
      <c r="K39" s="32"/>
      <c r="L39" s="32"/>
    </row>
    <row r="40" spans="1:16">
      <c r="B40" t="str">
        <f>IF(A40="","",
    IF(COUNTIF('Risk Register'!B:B, A40)=0, "ERROR: Risk ID Not Found",
        INDEX('Risk Register'!A:A, MATCH(A40, 'Risk Register'!B:B, 0))
    )
)</f>
        <v/>
      </c>
    </row>
    <row r="41" spans="1:16">
      <c r="B41" t="str">
        <f>IF(A41="","",
    IF(COUNTIF('Risk Register'!B:B, A41)=0, "ERROR: Risk ID Not Found",
        INDEX('Risk Register'!A:A, MATCH(A41, 'Risk Register'!B:B, 0))
    )
)</f>
        <v/>
      </c>
    </row>
    <row r="42" spans="1:16">
      <c r="B42" t="str">
        <f>IF(A42="","",
    IF(COUNTIF('Risk Register'!B:B, A42)=0, "ERROR: Risk ID Not Found",
        INDEX('Risk Register'!A:A, MATCH(A42, 'Risk Register'!B:B, 0))
    )
)</f>
        <v/>
      </c>
    </row>
    <row r="43" spans="1:16">
      <c r="B43" t="str">
        <f>IF(A43="","",
    IF(COUNTIF('Risk Register'!B:B, A43)=0, "ERROR: Risk ID Not Found",
        INDEX('Risk Register'!A:A, MATCH(A43, 'Risk Register'!B:B, 0))
    )
)</f>
        <v/>
      </c>
    </row>
    <row r="44" spans="1:16">
      <c r="B44" t="str">
        <f>IF(A44="","",
    IF(COUNTIF('Risk Register'!B:B, A44)=0, "ERROR: Risk ID Not Found",
        INDEX('Risk Register'!A:A, MATCH(A44, 'Risk Register'!B:B, 0))
    )
)</f>
        <v/>
      </c>
    </row>
    <row r="45" spans="1:16">
      <c r="B45" t="str">
        <f>IF(A45="","",
    IF(COUNTIF('Risk Register'!B:B, A45)=0, "ERROR: Risk ID Not Found",
        INDEX('Risk Register'!A:A, MATCH(A45, 'Risk Register'!B:B, 0))
    )
)</f>
        <v/>
      </c>
    </row>
    <row r="46" spans="1:16">
      <c r="B46" t="str">
        <f>IF(A46="","",
    IF(COUNTIF('Risk Register'!B:B, A46)=0, "ERROR: Risk ID Not Found",
        INDEX('Risk Register'!A:A, MATCH(A46, 'Risk Register'!B:B, 0))
    )
)</f>
        <v/>
      </c>
    </row>
    <row r="47" spans="1:16">
      <c r="B47" t="str">
        <f>IF(A47="","",
    IF(COUNTIF('Risk Register'!B:B, A47)=0, "ERROR: Risk ID Not Found",
        INDEX('Risk Register'!A:A, MATCH(A47, 'Risk Register'!B:B, 0))
    )
)</f>
        <v/>
      </c>
    </row>
    <row r="48" spans="1:16">
      <c r="B48" t="str">
        <f>IF(A48="","",
    IF(COUNTIF('Risk Register'!B:B, A48)=0, "ERROR: Risk ID Not Found",
        INDEX('Risk Register'!A:A, MATCH(A48, 'Risk Register'!B:B, 0))
    )
)</f>
        <v/>
      </c>
    </row>
    <row r="49" spans="2:2">
      <c r="B49" t="str">
        <f>IF(A49="","",
    IF(COUNTIF('Risk Register'!B:B, A49)=0, "ERROR: Risk ID Not Found",
        INDEX('Risk Register'!A:A, MATCH(A49, 'Risk Register'!B:B, 0))
    )
)</f>
        <v/>
      </c>
    </row>
    <row r="50" spans="2:2">
      <c r="B50" t="str">
        <f>IF(A50="","",
    IF(COUNTIF('Risk Register'!B:B, A50)=0, "ERROR: Risk ID Not Found",
        INDEX('Risk Register'!A:A, MATCH(A50, 'Risk Register'!B:B, 0))
    )
)</f>
        <v/>
      </c>
    </row>
    <row r="51" spans="2:2">
      <c r="B51" t="str">
        <f>IF(A51="","",
    IF(COUNTIF('Risk Register'!B:B, A51)=0, "ERROR: Risk ID Not Found",
        INDEX('Risk Register'!A:A, MATCH(A51, 'Risk Register'!B:B, 0))
    )
)</f>
        <v/>
      </c>
    </row>
    <row r="52" spans="2:2">
      <c r="B52" t="str">
        <f>IF(A52="","",
    IF(COUNTIF('Risk Register'!B:B, A52)=0, "ERROR: Risk ID Not Found",
        INDEX('Risk Register'!A:A, MATCH(A52, 'Risk Register'!B:B, 0))
    )
)</f>
        <v/>
      </c>
    </row>
    <row r="53" spans="2:2">
      <c r="B53" t="str">
        <f>IF(A53="","",
    IF(COUNTIF('Risk Register'!B:B, A53)=0, "ERROR: Risk ID Not Found",
        INDEX('Risk Register'!A:A, MATCH(A53, 'Risk Register'!B:B, 0))
    )
)</f>
        <v/>
      </c>
    </row>
    <row r="54" spans="2:2">
      <c r="B54" t="str">
        <f>IF(A54="","",
    IF(COUNTIF('Risk Register'!B:B, A54)=0, "ERROR: Risk ID Not Found",
        INDEX('Risk Register'!A:A, MATCH(A54, 'Risk Register'!B:B, 0))
    )
)</f>
        <v/>
      </c>
    </row>
    <row r="55" spans="2:2">
      <c r="B55" t="str">
        <f>IF(A55="","",
    IF(COUNTIF('Risk Register'!B:B, A55)=0, "ERROR: Risk ID Not Found",
        INDEX('Risk Register'!A:A, MATCH(A55, 'Risk Register'!B:B, 0))
    )
)</f>
        <v/>
      </c>
    </row>
    <row r="56" spans="2:2">
      <c r="B56" t="str">
        <f>IF(A56="","",
    IF(COUNTIF('Risk Register'!B:B, A56)=0, "ERROR: Risk ID Not Found",
        INDEX('Risk Register'!A:A, MATCH(A56, 'Risk Register'!B:B, 0))
    )
)</f>
        <v/>
      </c>
    </row>
    <row r="57" spans="2:2">
      <c r="B57" t="str">
        <f>IF(A57="","",
    IF(COUNTIF('Risk Register'!B:B, A57)=0, "ERROR: Risk ID Not Found",
        INDEX('Risk Register'!A:A, MATCH(A57, 'Risk Register'!B:B, 0))
    )
)</f>
        <v/>
      </c>
    </row>
    <row r="58" spans="2:2">
      <c r="B58" t="str">
        <f>IF(A58="","",
    IF(COUNTIF('Risk Register'!B:B, A58)=0, "ERROR: Risk ID Not Found",
        INDEX('Risk Register'!A:A, MATCH(A58, 'Risk Register'!B:B, 0))
    )
)</f>
        <v/>
      </c>
    </row>
    <row r="59" spans="2:2">
      <c r="B59" t="str">
        <f>IF(A59="","",
    IF(COUNTIF('Risk Register'!B:B, A59)=0, "ERROR: Risk ID Not Found",
        INDEX('Risk Register'!A:A, MATCH(A59, 'Risk Register'!B:B, 0))
    )
)</f>
        <v/>
      </c>
    </row>
    <row r="60" spans="2:2">
      <c r="B60" t="str">
        <f>IF(A60="","",
    IF(COUNTIF('Risk Register'!B:B, A60)=0, "ERROR: Risk ID Not Found",
        INDEX('Risk Register'!A:A, MATCH(A60, 'Risk Register'!B:B, 0))
    )
)</f>
        <v/>
      </c>
    </row>
    <row r="61" spans="2:2">
      <c r="B61" t="str">
        <f>IF(A61="","",
    IF(COUNTIF('Risk Register'!B:B, A61)=0, "ERROR: Risk ID Not Found",
        INDEX('Risk Register'!A:A, MATCH(A61, 'Risk Register'!B:B, 0))
    )
)</f>
        <v/>
      </c>
    </row>
    <row r="62" spans="2:2">
      <c r="B62" t="str">
        <f>IF(A62="","",
    IF(COUNTIF('Risk Register'!B:B, A62)=0, "ERROR: Risk ID Not Found",
        INDEX('Risk Register'!A:A, MATCH(A62, 'Risk Register'!B:B, 0))
    )
)</f>
        <v/>
      </c>
    </row>
    <row r="63" spans="2:2">
      <c r="B63" t="str">
        <f>IF(A63="","",
    IF(COUNTIF('Risk Register'!B:B, A63)=0, "ERROR: Risk ID Not Found",
        INDEX('Risk Register'!A:A, MATCH(A63, 'Risk Register'!B:B, 0))
    )
)</f>
        <v/>
      </c>
    </row>
    <row r="64" spans="2:2">
      <c r="B64" t="str">
        <f>IF(A64="","",
    IF(COUNTIF('Risk Register'!B:B, A64)=0, "ERROR: Risk ID Not Found",
        INDEX('Risk Register'!A:A, MATCH(A64, 'Risk Register'!B:B, 0))
    )
)</f>
        <v/>
      </c>
    </row>
    <row r="65" spans="2:2">
      <c r="B65" t="str">
        <f>IF(A65="","",
    IF(COUNTIF('Risk Register'!B:B, A65)=0, "ERROR: Risk ID Not Found",
        INDEX('Risk Register'!A:A, MATCH(A65, 'Risk Register'!B:B, 0))
    )
)</f>
        <v/>
      </c>
    </row>
    <row r="66" spans="2:2">
      <c r="B66" t="str">
        <f>IF(A66="","",
    IF(COUNTIF('Risk Register'!B:B, A66)=0, "ERROR: Risk ID Not Found",
        INDEX('Risk Register'!A:A, MATCH(A66, 'Risk Register'!B:B, 0))
    )
)</f>
        <v/>
      </c>
    </row>
    <row r="67" spans="2:2">
      <c r="B67" t="str">
        <f>IF(A67="","",
    IF(COUNTIF('Risk Register'!B:B, A67)=0, "ERROR: Risk ID Not Found",
        INDEX('Risk Register'!A:A, MATCH(A67, 'Risk Register'!B:B, 0))
    )
)</f>
        <v/>
      </c>
    </row>
    <row r="68" spans="2:2">
      <c r="B68" t="str">
        <f>IF(A68="","",
    IF(COUNTIF('Risk Register'!B:B, A68)=0, "ERROR: Risk ID Not Found",
        INDEX('Risk Register'!A:A, MATCH(A68, 'Risk Register'!B:B, 0))
    )
)</f>
        <v/>
      </c>
    </row>
    <row r="69" spans="2:2">
      <c r="B69" t="str">
        <f>IF(A69="","",
    IF(COUNTIF('Risk Register'!B:B, A69)=0, "ERROR: Risk ID Not Found",
        INDEX('Risk Register'!A:A, MATCH(A69, 'Risk Register'!B:B, 0))
    )
)</f>
        <v/>
      </c>
    </row>
    <row r="70" spans="2:2">
      <c r="B70" t="str">
        <f>IF(A70="","",
    IF(COUNTIF('Risk Register'!B:B, A70)=0, "ERROR: Risk ID Not Found",
        INDEX('Risk Register'!A:A, MATCH(A70, 'Risk Register'!B:B, 0))
    )
)</f>
        <v/>
      </c>
    </row>
    <row r="71" spans="2:2">
      <c r="B71" t="str">
        <f>IF(A71="","",
    IF(COUNTIF('Risk Register'!B:B, A71)=0, "ERROR: Risk ID Not Found",
        INDEX('Risk Register'!A:A, MATCH(A71, 'Risk Register'!B:B, 0))
    )
)</f>
        <v/>
      </c>
    </row>
    <row r="72" spans="2:2">
      <c r="B72" t="str">
        <f>IF(A72="","",
    IF(COUNTIF('Risk Register'!B:B, A72)=0, "ERROR: Risk ID Not Found",
        INDEX('Risk Register'!A:A, MATCH(A72, 'Risk Register'!B:B, 0))
    )
)</f>
        <v/>
      </c>
    </row>
    <row r="73" spans="2:2">
      <c r="B73" t="str">
        <f>IF(A73="","",
    IF(COUNTIF('Risk Register'!B:B, A73)=0, "ERROR: Risk ID Not Found",
        INDEX('Risk Register'!A:A, MATCH(A73, 'Risk Register'!B:B, 0))
    )
)</f>
        <v/>
      </c>
    </row>
    <row r="74" spans="2:2">
      <c r="B74" t="str">
        <f>IF(A74="","",
    IF(COUNTIF('Risk Register'!B:B, A74)=0, "ERROR: Risk ID Not Found",
        INDEX('Risk Register'!A:A, MATCH(A74, 'Risk Register'!B:B, 0))
    )
)</f>
        <v/>
      </c>
    </row>
    <row r="75" spans="2:2">
      <c r="B75" t="str">
        <f>IF(A75="","",
    IF(COUNTIF('Risk Register'!B:B, A75)=0, "ERROR: Risk ID Not Found",
        INDEX('Risk Register'!A:A, MATCH(A75, 'Risk Register'!B:B, 0))
    )
)</f>
        <v/>
      </c>
    </row>
    <row r="76" spans="2:2">
      <c r="B76" t="str">
        <f>IF(A76="","",
    IF(COUNTIF('Risk Register'!B:B, A76)=0, "ERROR: Risk ID Not Found",
        INDEX('Risk Register'!A:A, MATCH(A76, 'Risk Register'!B:B, 0))
    )
)</f>
        <v/>
      </c>
    </row>
    <row r="77" spans="2:2">
      <c r="B77" t="str">
        <f>IF(A77="","",
    IF(COUNTIF('Risk Register'!B:B, A77)=0, "ERROR: Risk ID Not Found",
        INDEX('Risk Register'!A:A, MATCH(A77, 'Risk Register'!B:B, 0))
    )
)</f>
        <v/>
      </c>
    </row>
    <row r="78" spans="2:2">
      <c r="B78" t="str">
        <f>IF(A78="","",
    IF(COUNTIF('Risk Register'!B:B, A78)=0, "ERROR: Risk ID Not Found",
        INDEX('Risk Register'!A:A, MATCH(A78, 'Risk Register'!B:B, 0))
    )
)</f>
        <v/>
      </c>
    </row>
    <row r="79" spans="2:2">
      <c r="B79" t="str">
        <f>IF(A79="","",
    IF(COUNTIF('Risk Register'!B:B, A79)=0, "ERROR: Risk ID Not Found",
        INDEX('Risk Register'!A:A, MATCH(A79, 'Risk Register'!B:B, 0))
    )
)</f>
        <v/>
      </c>
    </row>
    <row r="80" spans="2:2">
      <c r="B80" t="str">
        <f>IF(A80="","",
    IF(COUNTIF('Risk Register'!B:B, A80)=0, "ERROR: Risk ID Not Found",
        INDEX('Risk Register'!A:A, MATCH(A80, 'Risk Register'!B:B, 0))
    )
)</f>
        <v/>
      </c>
    </row>
    <row r="81" spans="2:2">
      <c r="B81" t="str">
        <f>IF(A81="","",
    IF(COUNTIF('Risk Register'!B:B, A81)=0, "ERROR: Risk ID Not Found",
        INDEX('Risk Register'!A:A, MATCH(A81, 'Risk Register'!B:B, 0))
    )
)</f>
        <v/>
      </c>
    </row>
    <row r="82" spans="2:2">
      <c r="B82" t="str">
        <f>IF(A82="","",
    IF(COUNTIF('Risk Register'!B:B, A82)=0, "ERROR: Risk ID Not Found",
        INDEX('Risk Register'!A:A, MATCH(A82, 'Risk Register'!B:B, 0))
    )
)</f>
        <v/>
      </c>
    </row>
    <row r="83" spans="2:2">
      <c r="B83" t="str">
        <f>IF(A83="","",
    IF(COUNTIF('Risk Register'!B:B, A83)=0, "ERROR: Risk ID Not Found",
        INDEX('Risk Register'!A:A, MATCH(A83, 'Risk Register'!B:B, 0))
    )
)</f>
        <v/>
      </c>
    </row>
    <row r="84" spans="2:2">
      <c r="B84" t="str">
        <f>IF(A84="","",
    IF(COUNTIF('Risk Register'!B:B, A84)=0, "ERROR: Risk ID Not Found",
        INDEX('Risk Register'!A:A, MATCH(A84, 'Risk Register'!B:B, 0))
    )
)</f>
        <v/>
      </c>
    </row>
    <row r="85" spans="2:2">
      <c r="B85" t="str">
        <f>IF(A85="","",
    IF(COUNTIF('Risk Register'!B:B, A85)=0, "ERROR: Risk ID Not Found",
        INDEX('Risk Register'!A:A, MATCH(A85, 'Risk Register'!B:B, 0))
    )
)</f>
        <v/>
      </c>
    </row>
    <row r="86" spans="2:2">
      <c r="B86" t="str">
        <f>IF(A86="","",
    IF(COUNTIF('Risk Register'!B:B, A86)=0, "ERROR: Risk ID Not Found",
        INDEX('Risk Register'!A:A, MATCH(A86, 'Risk Register'!B:B, 0))
    )
)</f>
        <v/>
      </c>
    </row>
    <row r="87" spans="2:2">
      <c r="B87" t="str">
        <f>IF(A87="","",
    IF(COUNTIF('Risk Register'!B:B, A87)=0, "ERROR: Risk ID Not Found",
        INDEX('Risk Register'!A:A, MATCH(A87, 'Risk Register'!B:B, 0))
    )
)</f>
        <v/>
      </c>
    </row>
    <row r="88" spans="2:2">
      <c r="B88" t="str">
        <f>IF(A88="","",
    IF(COUNTIF('Risk Register'!B:B, A88)=0, "ERROR: Risk ID Not Found",
        INDEX('Risk Register'!A:A, MATCH(A88, 'Risk Register'!B:B, 0))
    )
)</f>
        <v/>
      </c>
    </row>
    <row r="89" spans="2:2">
      <c r="B89" t="str">
        <f>IF(A89="","",
    IF(COUNTIF('Risk Register'!B:B, A89)=0, "ERROR: Risk ID Not Found",
        INDEX('Risk Register'!A:A, MATCH(A89, 'Risk Register'!B:B, 0))
    )
)</f>
        <v/>
      </c>
    </row>
    <row r="90" spans="2:2">
      <c r="B90" t="str">
        <f>IF(A90="","",
    IF(COUNTIF('Risk Register'!B:B, A90)=0, "ERROR: Risk ID Not Found",
        INDEX('Risk Register'!A:A, MATCH(A90, 'Risk Register'!B:B, 0))
    )
)</f>
        <v/>
      </c>
    </row>
    <row r="91" spans="2:2">
      <c r="B91" t="str">
        <f>IF(A91="","",
    IF(COUNTIF('Risk Register'!B:B, A91)=0, "ERROR: Risk ID Not Found",
        INDEX('Risk Register'!A:A, MATCH(A91, 'Risk Register'!B:B, 0))
    )
)</f>
        <v/>
      </c>
    </row>
    <row r="92" spans="2:2">
      <c r="B92" t="str">
        <f>IF(A92="","",
    IF(COUNTIF('Risk Register'!B:B, A92)=0, "ERROR: Risk ID Not Found",
        INDEX('Risk Register'!A:A, MATCH(A92, 'Risk Register'!B:B, 0))
    )
)</f>
        <v/>
      </c>
    </row>
    <row r="93" spans="2:2">
      <c r="B93" t="str">
        <f>IF(A93="","",
    IF(COUNTIF('Risk Register'!B:B, A93)=0, "ERROR: Risk ID Not Found",
        INDEX('Risk Register'!A:A, MATCH(A93, 'Risk Register'!B:B, 0))
    )
)</f>
        <v/>
      </c>
    </row>
    <row r="94" spans="2:2">
      <c r="B94" t="str">
        <f>IF(A94="","",
    IF(COUNTIF('Risk Register'!B:B, A94)=0, "ERROR: Risk ID Not Found",
        INDEX('Risk Register'!A:A, MATCH(A94, 'Risk Register'!B:B, 0))
    )
)</f>
        <v/>
      </c>
    </row>
    <row r="95" spans="2:2">
      <c r="B95" t="str">
        <f>IF(A95="","",
    IF(COUNTIF('Risk Register'!B:B, A95)=0, "ERROR: Risk ID Not Found",
        INDEX('Risk Register'!A:A, MATCH(A95, 'Risk Register'!B:B, 0))
    )
)</f>
        <v/>
      </c>
    </row>
    <row r="96" spans="2:2">
      <c r="B96" t="str">
        <f>IF(A96="","",
    IF(COUNTIF('Risk Register'!B:B, A96)=0, "ERROR: Risk ID Not Found",
        INDEX('Risk Register'!A:A, MATCH(A96, 'Risk Register'!B:B, 0))
    )
)</f>
        <v/>
      </c>
    </row>
    <row r="97" spans="2:15">
      <c r="B97" t="str">
        <f>IF(A97="","",
    IF(COUNTIF('Risk Register'!B:B, A97)=0, "ERROR: Risk ID Not Found",
        INDEX('Risk Register'!A:A, MATCH(A97, 'Risk Register'!B:B, 0))
    )
)</f>
        <v/>
      </c>
    </row>
    <row r="98" spans="2:15">
      <c r="B98" t="str">
        <f>IF(A98="","",
    IF(COUNTIF('Risk Register'!B:B, A98)=0, "ERROR: Risk ID Not Found",
        INDEX('Risk Register'!A:A, MATCH(A98, 'Risk Register'!B:B, 0))
    )
)</f>
        <v/>
      </c>
    </row>
    <row r="99" spans="2:15">
      <c r="B99" t="str">
        <f>IF(A99="","",
    IF(COUNTIF('Risk Register'!B:B, A99)=0, "ERROR: Risk ID Not Found",
        INDEX('Risk Register'!A:A, MATCH(A99, 'Risk Register'!B:B, 0))
    )
)</f>
        <v/>
      </c>
    </row>
    <row r="100" spans="2:15">
      <c r="B100" t="str">
        <f>IF(A100="","",
    IF(COUNTIF('Risk Register'!B:B, A100)=0, "ERROR: Risk ID Not Found",
        INDEX('Risk Register'!A:A, MATCH(A100, 'Risk Register'!B:B, 0))
    )
)</f>
        <v/>
      </c>
      <c r="O100" s="1" t="s">
        <v>821</v>
      </c>
    </row>
    <row r="101" spans="2:15">
      <c r="B101" t="str">
        <f>IF(A101="","",
    IF(COUNTIF('Risk Register'!B:B, A101)=0, "ERROR: Risk ID Not Found",
        INDEX('Risk Register'!A:A, MATCH(A101, 'Risk Register'!B:B, 0))
    )
)</f>
        <v/>
      </c>
      <c r="O101" t="s">
        <v>1265</v>
      </c>
    </row>
    <row r="102" spans="2:15">
      <c r="B102" t="str">
        <f>IF(A102="","",
    IF(COUNTIF('Risk Register'!B:B, A102)=0, "ERROR: Risk ID Not Found",
        INDEX('Risk Register'!A:A, MATCH(A102, 'Risk Register'!B:B, 0))
    )
)</f>
        <v/>
      </c>
      <c r="O102" t="s">
        <v>1266</v>
      </c>
    </row>
    <row r="103" spans="2:15">
      <c r="B103" t="str">
        <f>IF(A103="","",
    IF(COUNTIF('Risk Register'!B:B, A103)=0, "ERROR: Risk ID Not Found",
        INDEX('Risk Register'!A:A, MATCH(A103, 'Risk Register'!B:B, 0))
    )
)</f>
        <v/>
      </c>
      <c r="O103" t="s">
        <v>830</v>
      </c>
    </row>
    <row r="104" spans="2:15">
      <c r="B104" t="str">
        <f>IF(A104="","",
    IF(COUNTIF('Risk Register'!B:B, A104)=0, "ERROR: Risk ID Not Found",
        INDEX('Risk Register'!A:A, MATCH(A104, 'Risk Register'!B:B, 0))
    )
)</f>
        <v/>
      </c>
    </row>
    <row r="105" spans="2:15">
      <c r="B105" t="str">
        <f>IF(A105="","",
    IF(COUNTIF('Risk Register'!B:B, A105)=0, "ERROR: Risk ID Not Found",
        INDEX('Risk Register'!A:A, MATCH(A105, 'Risk Register'!B:B, 0))
    )
)</f>
        <v/>
      </c>
    </row>
    <row r="106" spans="2:15">
      <c r="B106" t="str">
        <f>IF(A106="","",
    IF(COUNTIF('Risk Register'!B:B, A106)=0, "ERROR: Risk ID Not Found",
        INDEX('Risk Register'!A:A, MATCH(A106, 'Risk Register'!B:B, 0))
    )
)</f>
        <v/>
      </c>
    </row>
    <row r="107" spans="2:15">
      <c r="B107" t="str">
        <f>IF(A107="","",
    IF(COUNTIF('Risk Register'!B:B, A107)=0, "ERROR: Risk ID Not Found",
        INDEX('Risk Register'!A:A, MATCH(A107, 'Risk Register'!B:B, 0))
    )
)</f>
        <v/>
      </c>
    </row>
    <row r="108" spans="2:15">
      <c r="B108" t="str">
        <f>IF(A108="","",
    IF(COUNTIF('Risk Register'!B:B, A108)=0, "ERROR: Risk ID Not Found",
        INDEX('Risk Register'!A:A, MATCH(A108, 'Risk Register'!B:B, 0))
    )
)</f>
        <v/>
      </c>
    </row>
    <row r="109" spans="2:15">
      <c r="B109" t="str">
        <f>IF(A109="","",
    IF(COUNTIF('Risk Register'!B:B, A109)=0, "ERROR: Risk ID Not Found",
        INDEX('Risk Register'!A:A, MATCH(A109, 'Risk Register'!B:B, 0))
    )
)</f>
        <v/>
      </c>
    </row>
    <row r="110" spans="2:15">
      <c r="B110" t="str">
        <f>IF(A110="","",
    IF(COUNTIF('Risk Register'!B:B, A110)=0, "ERROR: Risk ID Not Found",
        INDEX('Risk Register'!A:A, MATCH(A110, 'Risk Register'!B:B, 0))
    )
)</f>
        <v/>
      </c>
    </row>
    <row r="111" spans="2:15">
      <c r="B111" t="str">
        <f>IF(A111="","",
    IF(COUNTIF('Risk Register'!B:B, A111)=0, "ERROR: Risk ID Not Found",
        INDEX('Risk Register'!A:A, MATCH(A111, 'Risk Register'!B:B, 0))
    )
)</f>
        <v/>
      </c>
    </row>
    <row r="112" spans="2:15">
      <c r="B112" t="str">
        <f>IF(A112="","",
    IF(COUNTIF('Risk Register'!B:B, A112)=0, "ERROR: Risk ID Not Found",
        INDEX('Risk Register'!A:A, MATCH(A112, 'Risk Register'!B:B, 0))
    )
)</f>
        <v/>
      </c>
    </row>
    <row r="113" spans="2:2">
      <c r="B113" t="str">
        <f>IF(A113="","",
    IF(COUNTIF('Risk Register'!B:B, A113)=0, "ERROR: Risk ID Not Found",
        INDEX('Risk Register'!A:A, MATCH(A113, 'Risk Register'!B:B, 0))
    )
)</f>
        <v/>
      </c>
    </row>
    <row r="114" spans="2:2">
      <c r="B114" t="str">
        <f>IF(A114="","",
    IF(COUNTIF('Risk Register'!B:B, A114)=0, "ERROR: Risk ID Not Found",
        INDEX('Risk Register'!A:A, MATCH(A114, 'Risk Register'!B:B, 0))
    )
)</f>
        <v/>
      </c>
    </row>
    <row r="115" spans="2:2">
      <c r="B115" t="str">
        <f>IF(A115="","",
    IF(COUNTIF('Risk Register'!B:B, A115)=0, "ERROR: Risk ID Not Found",
        INDEX('Risk Register'!A:A, MATCH(A115, 'Risk Register'!B:B, 0))
    )
)</f>
        <v/>
      </c>
    </row>
    <row r="116" spans="2:2">
      <c r="B116" t="str">
        <f>IF(A116="","",
    IF(COUNTIF('Risk Register'!B:B, A116)=0, "ERROR: Risk ID Not Found",
        INDEX('Risk Register'!A:A, MATCH(A116, 'Risk Register'!B:B, 0))
    )
)</f>
        <v/>
      </c>
    </row>
    <row r="117" spans="2:2">
      <c r="B117" t="str">
        <f>IF(A117="","",
    IF(COUNTIF('Risk Register'!B:B, A117)=0, "ERROR: Risk ID Not Found",
        INDEX('Risk Register'!A:A, MATCH(A117, 'Risk Register'!B:B, 0))
    )
)</f>
        <v/>
      </c>
    </row>
    <row r="118" spans="2:2">
      <c r="B118" t="str">
        <f>IF(A118="","",
    IF(COUNTIF('Risk Register'!B:B, A118)=0, "ERROR: Risk ID Not Found",
        INDEX('Risk Register'!A:A, MATCH(A118, 'Risk Register'!B:B, 0))
    )
)</f>
        <v/>
      </c>
    </row>
    <row r="119" spans="2:2">
      <c r="B119" t="str">
        <f>IF(A119="","",
    IF(COUNTIF('Risk Register'!B:B, A119)=0, "ERROR: Risk ID Not Found",
        INDEX('Risk Register'!A:A, MATCH(A119, 'Risk Register'!B:B, 0))
    )
)</f>
        <v/>
      </c>
    </row>
    <row r="120" spans="2:2">
      <c r="B120" t="str">
        <f>IF(A120="","",
    IF(COUNTIF('Risk Register'!B:B, A120)=0, "ERROR: Risk ID Not Found",
        INDEX('Risk Register'!A:A, MATCH(A120, 'Risk Register'!B:B, 0))
    )
)</f>
        <v/>
      </c>
    </row>
    <row r="121" spans="2:2">
      <c r="B121" t="str">
        <f>IF(A121="","",
    IF(COUNTIF('Risk Register'!B:B, A121)=0, "ERROR: Risk ID Not Found",
        INDEX('Risk Register'!A:A, MATCH(A121, 'Risk Register'!B:B, 0))
    )
)</f>
        <v/>
      </c>
    </row>
    <row r="122" spans="2:2">
      <c r="B122" t="str">
        <f>IF(A122="","",
    IF(COUNTIF('Risk Register'!B:B, A122)=0, "ERROR: Risk ID Not Found",
        INDEX('Risk Register'!A:A, MATCH(A122, 'Risk Register'!B:B, 0))
    )
)</f>
        <v/>
      </c>
    </row>
    <row r="123" spans="2:2">
      <c r="B123" t="str">
        <f>IF(A123="","",
    IF(COUNTIF('Risk Register'!B:B, A123)=0, "ERROR: Risk ID Not Found",
        INDEX('Risk Register'!A:A, MATCH(A123, 'Risk Register'!B:B, 0))
    )
)</f>
        <v/>
      </c>
    </row>
    <row r="124" spans="2:2">
      <c r="B124" t="str">
        <f>IF(A124="","",
    IF(COUNTIF('Risk Register'!B:B, A124)=0, "ERROR: Risk ID Not Found",
        INDEX('Risk Register'!A:A, MATCH(A124, 'Risk Register'!B:B, 0))
    )
)</f>
        <v/>
      </c>
    </row>
    <row r="125" spans="2:2">
      <c r="B125" t="str">
        <f>IF(A125="","",
    IF(COUNTIF('Risk Register'!B:B, A125)=0, "ERROR: Risk ID Not Found",
        INDEX('Risk Register'!A:A, MATCH(A125, 'Risk Register'!B:B, 0))
    )
)</f>
        <v/>
      </c>
    </row>
    <row r="126" spans="2:2">
      <c r="B126" t="str">
        <f>IF(A126="","",
    IF(COUNTIF('Risk Register'!B:B, A126)=0, "ERROR: Risk ID Not Found",
        INDEX('Risk Register'!A:A, MATCH(A126, 'Risk Register'!B:B, 0))
    )
)</f>
        <v/>
      </c>
    </row>
    <row r="127" spans="2:2">
      <c r="B127" t="str">
        <f>IF(A127="","",
    IF(COUNTIF('Risk Register'!B:B, A127)=0, "ERROR: Risk ID Not Found",
        INDEX('Risk Register'!A:A, MATCH(A127, 'Risk Register'!B:B, 0))
    )
)</f>
        <v/>
      </c>
    </row>
    <row r="128" spans="2:2">
      <c r="B128" t="str">
        <f>IF(A128="","",
    IF(COUNTIF('Risk Register'!B:B, A128)=0, "ERROR: Risk ID Not Found",
        INDEX('Risk Register'!A:A, MATCH(A128, 'Risk Register'!B:B, 0))
    )
)</f>
        <v/>
      </c>
    </row>
    <row r="129" spans="2:2">
      <c r="B129" t="str">
        <f>IF(A129="","",
    IF(COUNTIF('Risk Register'!B:B, A129)=0, "ERROR: Risk ID Not Found",
        INDEX('Risk Register'!A:A, MATCH(A129, 'Risk Register'!B:B, 0))
    )
)</f>
        <v/>
      </c>
    </row>
    <row r="130" spans="2:2">
      <c r="B130" t="str">
        <f>IF(A130="","",
    IF(COUNTIF('Risk Register'!B:B, A130)=0, "ERROR: Risk ID Not Found",
        INDEX('Risk Register'!A:A, MATCH(A130, 'Risk Register'!B:B, 0))
    )
)</f>
        <v/>
      </c>
    </row>
    <row r="131" spans="2:2">
      <c r="B131" t="str">
        <f>IF(A131="","",
    IF(COUNTIF('Risk Register'!B:B, A131)=0, "ERROR: Risk ID Not Found",
        INDEX('Risk Register'!A:A, MATCH(A131, 'Risk Register'!B:B, 0))
    )
)</f>
        <v/>
      </c>
    </row>
    <row r="132" spans="2:2">
      <c r="B132" t="str">
        <f>IF(A132="","",
    IF(COUNTIF('Risk Register'!B:B, A132)=0, "ERROR: Risk ID Not Found",
        INDEX('Risk Register'!A:A, MATCH(A132, 'Risk Register'!B:B, 0))
    )
)</f>
        <v/>
      </c>
    </row>
    <row r="133" spans="2:2">
      <c r="B133" t="str">
        <f>IF(A133="","",
    IF(COUNTIF('Risk Register'!B:B, A133)=0, "ERROR: Risk ID Not Found",
        INDEX('Risk Register'!A:A, MATCH(A133, 'Risk Register'!B:B, 0))
    )
)</f>
        <v/>
      </c>
    </row>
    <row r="134" spans="2:2">
      <c r="B134" t="str">
        <f>IF(A134="","",
    IF(COUNTIF('Risk Register'!B:B, A134)=0, "ERROR: Risk ID Not Found",
        INDEX('Risk Register'!A:A, MATCH(A134, 'Risk Register'!B:B, 0))
    )
)</f>
        <v/>
      </c>
    </row>
    <row r="135" spans="2:2">
      <c r="B135" t="str">
        <f>IF(A135="","",
    IF(COUNTIF('Risk Register'!B:B, A135)=0, "ERROR: Risk ID Not Found",
        INDEX('Risk Register'!A:A, MATCH(A135, 'Risk Register'!B:B, 0))
    )
)</f>
        <v/>
      </c>
    </row>
    <row r="136" spans="2:2">
      <c r="B136" t="str">
        <f>IF(A136="","",
    IF(COUNTIF('Risk Register'!B:B, A136)=0, "ERROR: Risk ID Not Found",
        INDEX('Risk Register'!A:A, MATCH(A136, 'Risk Register'!B:B, 0))
    )
)</f>
        <v/>
      </c>
    </row>
    <row r="137" spans="2:2">
      <c r="B137" t="str">
        <f>IF(A137="","",
    IF(COUNTIF('Risk Register'!B:B, A137)=0, "ERROR: Risk ID Not Found",
        INDEX('Risk Register'!A:A, MATCH(A137, 'Risk Register'!B:B, 0))
    )
)</f>
        <v/>
      </c>
    </row>
    <row r="138" spans="2:2">
      <c r="B138" t="str">
        <f>IF(A138="","",
    IF(COUNTIF('Risk Register'!B:B, A138)=0, "ERROR: Risk ID Not Found",
        INDEX('Risk Register'!A:A, MATCH(A138, 'Risk Register'!B:B, 0))
    )
)</f>
        <v/>
      </c>
    </row>
    <row r="139" spans="2:2">
      <c r="B139" t="str">
        <f>IF(A139="","",
    IF(COUNTIF('Risk Register'!B:B, A139)=0, "ERROR: Risk ID Not Found",
        INDEX('Risk Register'!A:A, MATCH(A139, 'Risk Register'!B:B, 0))
    )
)</f>
        <v/>
      </c>
    </row>
    <row r="140" spans="2:2">
      <c r="B140" t="str">
        <f>IF(A140="","",
    IF(COUNTIF('Risk Register'!B:B, A140)=0, "ERROR: Risk ID Not Found",
        INDEX('Risk Register'!A:A, MATCH(A140, 'Risk Register'!B:B, 0))
    )
)</f>
        <v/>
      </c>
    </row>
    <row r="141" spans="2:2">
      <c r="B141" t="str">
        <f>IF(A141="","",
    IF(COUNTIF('Risk Register'!B:B, A141)=0, "ERROR: Risk ID Not Found",
        INDEX('Risk Register'!A:A, MATCH(A141, 'Risk Register'!B:B, 0))
    )
)</f>
        <v/>
      </c>
    </row>
    <row r="142" spans="2:2">
      <c r="B142" t="str">
        <f>IF(A142="","",
    IF(COUNTIF('Risk Register'!B:B, A142)=0, "ERROR: Risk ID Not Found",
        INDEX('Risk Register'!A:A, MATCH(A142, 'Risk Register'!B:B, 0))
    )
)</f>
        <v/>
      </c>
    </row>
    <row r="143" spans="2:2">
      <c r="B143" t="str">
        <f>IF(A143="","",
    IF(COUNTIF('Risk Register'!B:B, A143)=0, "ERROR: Risk ID Not Found",
        INDEX('Risk Register'!A:A, MATCH(A143, 'Risk Register'!B:B, 0))
    )
)</f>
        <v/>
      </c>
    </row>
    <row r="144" spans="2:2">
      <c r="B144" t="str">
        <f>IF(A144="","",
    IF(COUNTIF('Risk Register'!B:B, A144)=0, "ERROR: Risk ID Not Found",
        INDEX('Risk Register'!A:A, MATCH(A144, 'Risk Register'!B:B, 0))
    )
)</f>
        <v/>
      </c>
    </row>
    <row r="145" spans="2:2">
      <c r="B145" t="str">
        <f>IF(A145="","",
    IF(COUNTIF('Risk Register'!B:B, A145)=0, "ERROR: Risk ID Not Found",
        INDEX('Risk Register'!A:A, MATCH(A145, 'Risk Register'!B:B, 0))
    )
)</f>
        <v/>
      </c>
    </row>
    <row r="146" spans="2:2">
      <c r="B146" t="str">
        <f>IF(A146="","",
    IF(COUNTIF('Risk Register'!B:B, A146)=0, "ERROR: Risk ID Not Found",
        INDEX('Risk Register'!A:A, MATCH(A146, 'Risk Register'!B:B, 0))
    )
)</f>
        <v/>
      </c>
    </row>
    <row r="147" spans="2:2">
      <c r="B147" t="str">
        <f>IF(A147="","",
    IF(COUNTIF('Risk Register'!B:B, A147)=0, "ERROR: Risk ID Not Found",
        INDEX('Risk Register'!A:A, MATCH(A147, 'Risk Register'!B:B, 0))
    )
)</f>
        <v/>
      </c>
    </row>
    <row r="148" spans="2:2">
      <c r="B148" t="str">
        <f>IF(A148="","",
    IF(COUNTIF('Risk Register'!B:B, A148)=0, "ERROR: Risk ID Not Found",
        INDEX('Risk Register'!A:A, MATCH(A148, 'Risk Register'!B:B, 0))
    )
)</f>
        <v/>
      </c>
    </row>
    <row r="149" spans="2:2">
      <c r="B149" t="str">
        <f>IF(A149="","",
    IF(COUNTIF('Risk Register'!B:B, A149)=0, "ERROR: Risk ID Not Found",
        INDEX('Risk Register'!A:A, MATCH(A149, 'Risk Register'!B:B, 0))
    )
)</f>
        <v/>
      </c>
    </row>
    <row r="150" spans="2:2">
      <c r="B150" t="str">
        <f>IF(A150="","",
    IF(COUNTIF('Risk Register'!B:B, A150)=0, "ERROR: Risk ID Not Found",
        INDEX('Risk Register'!A:A, MATCH(A150, 'Risk Register'!B:B, 0))
    )
)</f>
        <v/>
      </c>
    </row>
  </sheetData>
  <conditionalFormatting sqref="B1:B1048576">
    <cfRule type="containsText" dxfId="11" priority="8" operator="containsText" text="ERROR">
      <formula>NOT(ISERROR(SEARCH("ERROR",B1)))</formula>
    </cfRule>
  </conditionalFormatting>
  <conditionalFormatting sqref="F2:F36">
    <cfRule type="colorScale" priority="7">
      <colorScale>
        <cfvo type="num" val="0"/>
        <cfvo type="num" val="4"/>
        <cfvo type="num" val="9"/>
        <color rgb="FF00B050"/>
        <color rgb="FFFFFF00"/>
        <color theme="9" tint="-0.249977111117893"/>
      </colorScale>
    </cfRule>
  </conditionalFormatting>
  <conditionalFormatting sqref="P2:P8 P37:P41">
    <cfRule type="expression" dxfId="10" priority="6">
      <formula>AND(P2-TODAY()&lt;=7, P2-TODAY()&gt;=0)</formula>
    </cfRule>
  </conditionalFormatting>
  <conditionalFormatting sqref="M5">
    <cfRule type="expression" dxfId="9" priority="5">
      <formula>AND(M5-TODAY()&lt;=7, M5-TODAY()&gt;=0)</formula>
    </cfRule>
  </conditionalFormatting>
  <conditionalFormatting sqref="M6">
    <cfRule type="expression" dxfId="8" priority="4">
      <formula>AND(M6-TODAY()&lt;=7, M6-TODAY()&gt;=0)</formula>
    </cfRule>
  </conditionalFormatting>
  <conditionalFormatting sqref="M9:M36">
    <cfRule type="expression" dxfId="7" priority="3">
      <formula>AND(M9-TODAY()&lt;=7, M9-TODAY()&gt;=0)</formula>
    </cfRule>
  </conditionalFormatting>
  <conditionalFormatting sqref="P9:P36">
    <cfRule type="expression" dxfId="6" priority="1">
      <formula>AND(P9-TODAY()&lt;=7, P9-TODAY()&gt;=0)</formula>
    </cfRule>
  </conditionalFormatting>
  <dataValidations count="2">
    <dataValidation type="list" allowBlank="1" showInputMessage="1" showErrorMessage="1" sqref="O2:O37" xr:uid="{E330F5EE-A84A-4541-B64D-9406EBA2DE4B}">
      <formula1>$O$101:$O$103</formula1>
    </dataValidation>
    <dataValidation type="list" allowBlank="1" showInputMessage="1" showErrorMessage="1" sqref="L2:L36" xr:uid="{AC4618AB-2100-4F32-87A9-49B543C0158E}">
      <formula1>#REF!</formula1>
    </dataValidation>
  </dataValidations>
  <pageMargins left="0.75" right="0.75" top="1" bottom="1" header="0.5" footer="0.5"/>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223A272-F489-495D-9B85-CF392100ECC5}">
          <x14:formula1>
            <xm:f>'Statement of Applicability'!$B$15:$B$110</xm:f>
          </x14:formula1>
          <xm:sqref>J2</xm:sqref>
        </x14:dataValidation>
        <x14:dataValidation type="list" allowBlank="1" showInputMessage="1" showErrorMessage="1" xr:uid="{A9E8D9C6-6122-014D-B3C9-AEBB7F40342A}">
          <x14:formula1>
            <xm:f>'Instructions and Definitions'!$G$78:$G$79</xm:f>
          </x14:formula1>
          <xm:sqref>G2:G36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2D050"/>
  </sheetPr>
  <dimension ref="A1:J99"/>
  <sheetViews>
    <sheetView zoomScale="114" workbookViewId="0">
      <pane ySplit="1" topLeftCell="A19" activePane="bottomLeft" state="frozen"/>
      <selection pane="bottomLeft" activeCell="D30" sqref="D30"/>
    </sheetView>
  </sheetViews>
  <sheetFormatPr defaultColWidth="8.85546875" defaultRowHeight="15"/>
  <cols>
    <col min="2" max="2" width="12.42578125" customWidth="1"/>
    <col min="3" max="3" width="72.28515625" bestFit="1" customWidth="1"/>
    <col min="4" max="4" width="44.140625" customWidth="1"/>
    <col min="5" max="5" width="54" customWidth="1"/>
    <col min="6" max="6" width="31.140625" customWidth="1"/>
    <col min="7" max="7" width="13.42578125" customWidth="1"/>
    <col min="8" max="9" width="14.7109375" customWidth="1"/>
    <col min="10" max="10" width="37.7109375" customWidth="1"/>
  </cols>
  <sheetData>
    <row r="1" spans="1:10">
      <c r="A1" s="1" t="s">
        <v>1154</v>
      </c>
      <c r="B1" s="1" t="s">
        <v>1267</v>
      </c>
      <c r="C1" s="1" t="s">
        <v>1211</v>
      </c>
      <c r="D1" s="1" t="s">
        <v>1268</v>
      </c>
      <c r="E1" s="1" t="s">
        <v>1269</v>
      </c>
      <c r="F1" s="1" t="s">
        <v>1270</v>
      </c>
      <c r="G1" s="1" t="s">
        <v>821</v>
      </c>
      <c r="H1" s="1" t="s">
        <v>1271</v>
      </c>
      <c r="I1" s="1" t="s">
        <v>1272</v>
      </c>
      <c r="J1" s="1" t="s">
        <v>365</v>
      </c>
    </row>
    <row r="2" spans="1:10" ht="30.75">
      <c r="A2" s="4" t="str">
        <f>'Risk Treatment Plan'!A2</f>
        <v>R001</v>
      </c>
      <c r="B2" t="str" cm="1">
        <f t="array" ref="B2">IF(A2="", "",
    IF(COUNTIF('Risk Treatment Plan'!A:A, A2)=0, "ERROR: Risk ID Not Found",
        IF(AND(ISNUMBER(VALUE(MID(A2,2,3))), LEFT(A2,1)="R", LEN(A2)=4),
            INDEX(Formulas!E:E, MATCH(FALSE, ISNUMBER(MATCH(Formulas!E:E, 'ISMS Action Tracker'!B$1:B1, 0)), 0)),
            "ERROR: Invalid Risk ID"
        )
    )
)</f>
        <v>AC001</v>
      </c>
      <c r="C2" s="28" t="str">
        <f>'Risk Treatment Plan'!H2</f>
        <v>Implement role-based access control (RBAC), MFA, logging and regularly review access rights for client data.</v>
      </c>
      <c r="D2" s="4" t="s">
        <v>1273</v>
      </c>
      <c r="E2" s="28" t="str">
        <f>'Risk Treatment Plan'!D2</f>
        <v>Unauthorized access to sensitive client information.</v>
      </c>
      <c r="F2" s="28" t="s">
        <v>325</v>
      </c>
      <c r="G2" t="s">
        <v>218</v>
      </c>
      <c r="H2" s="239" t="s">
        <v>1274</v>
      </c>
      <c r="I2" s="141" t="s">
        <v>1274</v>
      </c>
      <c r="J2" s="28" t="s">
        <v>1275</v>
      </c>
    </row>
    <row r="3" spans="1:10" ht="30.75">
      <c r="A3" s="311" t="str">
        <f>'Risk Treatment Plan'!A3</f>
        <v>R002</v>
      </c>
      <c r="B3" s="113" t="str" cm="1">
        <f t="array" ref="B3">IF(A3="", "",
    IF(COUNTIF('Risk Treatment Plan'!A:A, A3)=0, "ERROR: Risk ID Not Found",
        IF(AND(ISNUMBER(VALUE(MID(A3,2,3))), LEFT(A3,1)="R", LEN(A3)=4),
            INDEX(Formulas!E:E, MATCH(FALSE, ISNUMBER(MATCH(Formulas!E:E, 'ISMS Action Tracker'!B$1:B2, 0)), 0)),
            "ERROR: Invalid Risk ID"
        )
    )
)</f>
        <v>AC002</v>
      </c>
      <c r="C3" s="212" t="str">
        <f>'Risk Treatment Plan'!H3</f>
        <v>Conduct mandatory phishing simulations and quarterly security awareness training for staff.</v>
      </c>
      <c r="D3" s="212" t="s">
        <v>1276</v>
      </c>
      <c r="E3" s="212" t="str">
        <f>'Risk Treatment Plan'!D3</f>
        <v>Social engineering attacks (eg, phishing targeting employees with access).</v>
      </c>
      <c r="F3" s="212" t="s">
        <v>325</v>
      </c>
      <c r="G3" s="113"/>
      <c r="H3" s="312">
        <v>46112</v>
      </c>
      <c r="I3" s="213"/>
      <c r="J3" s="212"/>
    </row>
    <row r="4" spans="1:10" ht="30.75">
      <c r="A4" s="4" t="str">
        <f>'Risk Treatment Plan'!A4</f>
        <v>R003</v>
      </c>
      <c r="B4" t="str" cm="1">
        <f t="array" ref="B4">IF(A4="", "",
    IF(COUNTIF('Risk Treatment Plan'!A:A, A4)=0, "ERROR: Risk ID Not Found",
        IF(AND(ISNUMBER(VALUE(MID(A4,2,3))), LEFT(A4,1)="R", LEN(A4)=4),
            INDEX(Formulas!E:E, MATCH(FALSE, ISNUMBER(MATCH(Formulas!E:E, 'ISMS Action Tracker'!B$1:B3, 0)), 0)),
            "ERROR: Invalid Risk ID"
        )
    )
)</f>
        <v>AC003</v>
      </c>
      <c r="C4" s="28" t="str">
        <f>'Risk Treatment Plan'!H4</f>
        <v>Apply Azure DDoS Protection and restrict access to training VMs via NSGs and IP whitelisting.</v>
      </c>
      <c r="D4" s="28" t="s">
        <v>1277</v>
      </c>
      <c r="E4" s="28" t="str">
        <f>'Risk Treatment Plan'!D4</f>
        <v>Denial of Service (DoS) attacks that make the training environment unavailable.</v>
      </c>
      <c r="F4" s="28" t="s">
        <v>325</v>
      </c>
      <c r="G4" t="s">
        <v>218</v>
      </c>
      <c r="H4" s="312"/>
      <c r="I4" s="213"/>
      <c r="J4" s="212"/>
    </row>
    <row r="5" spans="1:10" ht="30.75">
      <c r="A5" s="4" t="str">
        <f>'Risk Treatment Plan'!A5</f>
        <v>R004</v>
      </c>
      <c r="B5" t="str" cm="1">
        <f t="array" ref="B5">IF(A5="", "",
    IF(COUNTIF('Risk Treatment Plan'!A:A, A5)=0, "ERROR: Risk ID Not Found",
        IF(AND(ISNUMBER(VALUE(MID(A5,2,3))), LEFT(A5,1)="R", LEN(A5)=4),
            INDEX(Formulas!E:E, MATCH(FALSE, ISNUMBER(MATCH(Formulas!E:E, 'ISMS Action Tracker'!B$1:B4, 0)), 0)),
            "ERROR: Invalid Risk ID"
        )
    )
)</f>
        <v>AC004</v>
      </c>
      <c r="C5" s="28" t="str">
        <f>'Risk Treatment Plan'!H5</f>
        <v>Enforce just-in-time privileged access in Azure and review audit logs monthly.</v>
      </c>
      <c r="D5" s="28" t="s">
        <v>1278</v>
      </c>
      <c r="E5" s="28" t="str">
        <f>'Risk Treatment Plan'!D5</f>
        <v>Malicious insiders using access for non-legitimate purposes.</v>
      </c>
      <c r="F5" s="28" t="s">
        <v>325</v>
      </c>
      <c r="G5" t="s">
        <v>218</v>
      </c>
      <c r="H5" s="312"/>
      <c r="I5" s="213"/>
      <c r="J5" s="212"/>
    </row>
    <row r="6" spans="1:10" ht="30.75">
      <c r="A6" s="4" t="str">
        <f>'Risk Treatment Plan'!A6</f>
        <v>R005</v>
      </c>
      <c r="B6" t="str" cm="1">
        <f t="array" ref="B6">IF(A6="", "",
    IF(COUNTIF('Risk Treatment Plan'!A:A, A6)=0, "ERROR: Risk ID Not Found",
        IF(AND(ISNUMBER(VALUE(MID(A6,2,3))), LEFT(A6,1)="R", LEN(A6)=4),
            INDEX(Formulas!E:E, MATCH(FALSE, ISNUMBER(MATCH(Formulas!E:E, 'ISMS Action Tracker'!B$1:B5, 0)), 0)),
            "ERROR: Invalid Risk ID"
        )
    )
)</f>
        <v>AC005</v>
      </c>
      <c r="C6" s="28" t="str">
        <f>'Risk Treatment Plan'!H6</f>
        <v>Enable document-level access controls and review permissions bi-annually.</v>
      </c>
      <c r="D6" t="s">
        <v>1273</v>
      </c>
      <c r="E6" s="28" t="str">
        <f>'Risk Treatment Plan'!D6</f>
        <v>Unauthorized access to confidential or proprietary project documentation.</v>
      </c>
      <c r="F6" s="28" t="s">
        <v>325</v>
      </c>
      <c r="G6" t="s">
        <v>218</v>
      </c>
      <c r="H6" s="239">
        <v>45809</v>
      </c>
      <c r="I6" s="140">
        <v>45962</v>
      </c>
      <c r="J6" s="28" t="s">
        <v>1279</v>
      </c>
    </row>
    <row r="7" spans="1:10" ht="30.75">
      <c r="A7" s="4" t="str">
        <f>'Risk Treatment Plan'!A7</f>
        <v>R006</v>
      </c>
      <c r="B7" t="str" cm="1">
        <f t="array" ref="B7">IF(A7="", "",
    IF(COUNTIF('Risk Treatment Plan'!A:A, A7)=0, "ERROR: Risk ID Not Found",
        IF(AND(ISNUMBER(VALUE(MID(A7,2,3))), LEFT(A7,1)="R", LEN(A7)=4),
            INDEX(Formulas!E:E, MATCH(FALSE, ISNUMBER(MATCH(Formulas!E:E, 'ISMS Action Tracker'!B$1:B6, 0)), 0)),
            "ERROR: Invalid Risk ID"
        )
    )
)</f>
        <v>AC006</v>
      </c>
      <c r="C7" s="28" t="str">
        <f>'Risk Treatment Plan'!H7</f>
        <v>Implement automated daily backups as a matter of policy by project manager with monthly restore tests. Can utilize Onedrive</v>
      </c>
      <c r="D7" s="28" t="s">
        <v>1280</v>
      </c>
      <c r="E7" s="28" t="str">
        <f>'Risk Treatment Plan'!D7</f>
        <v>Loss of project documentation due to insufficient backup procedures.</v>
      </c>
      <c r="F7" s="28" t="s">
        <v>325</v>
      </c>
      <c r="H7" s="239"/>
      <c r="I7" s="140"/>
      <c r="J7" s="28"/>
    </row>
    <row r="8" spans="1:10" ht="45.75">
      <c r="A8" s="4" t="str">
        <f>'Risk Treatment Plan'!A8</f>
        <v>R007</v>
      </c>
      <c r="B8" t="str" cm="1">
        <f t="array" ref="B8">IF(A8="", "",
    IF(COUNTIF('Risk Treatment Plan'!A:A, A8)=0, "ERROR: Risk ID Not Found",
        IF(AND(ISNUMBER(VALUE(MID(A8,2,3))), LEFT(A8,1)="R", LEN(A8)=4),
            INDEX(Formulas!E:E, MATCH(FALSE, ISNUMBER(MATCH(Formulas!E:E, 'ISMS Action Tracker'!B$1:B7, 0)), 0)),
            "ERROR: Invalid Risk ID"
        )
    )
)</f>
        <v>AC007</v>
      </c>
      <c r="C8" s="28" t="str">
        <f>'Risk Treatment Plan'!H8</f>
        <v>Policy states no sensitive data on laptops or phones</v>
      </c>
      <c r="D8" s="28" t="s">
        <v>1281</v>
      </c>
      <c r="E8" s="28" t="str">
        <f>'Risk Treatment Plan'!D8</f>
        <v>Loss or theft of laptops containing sensitive corporate data.</v>
      </c>
      <c r="F8" s="28" t="s">
        <v>325</v>
      </c>
      <c r="G8" t="s">
        <v>218</v>
      </c>
      <c r="H8" s="239"/>
      <c r="I8" s="140">
        <v>45778</v>
      </c>
      <c r="J8" s="28" t="s">
        <v>1282</v>
      </c>
    </row>
    <row r="9" spans="1:10" ht="45.75">
      <c r="A9" s="4" t="str">
        <f>'Risk Treatment Plan'!A9</f>
        <v>R008</v>
      </c>
      <c r="B9" t="str" cm="1">
        <f t="array" ref="B9">IF(A9="", "",
    IF(COUNTIF('Risk Treatment Plan'!A:A, A9)=0, "ERROR: Risk ID Not Found",
        IF(AND(ISNUMBER(VALUE(MID(A9,2,3))), LEFT(A9,1)="R", LEN(A9)=4),
            INDEX(Formulas!E:E, MATCH(FALSE, ISNUMBER(MATCH(Formulas!E:E, 'ISMS Action Tracker'!B$1:B8, 0)), 0)),
            "ERROR: Invalid Risk ID"
        )
    )
)</f>
        <v>AC008</v>
      </c>
      <c r="C9" s="28" t="str">
        <f>'Risk Treatment Plan'!H9</f>
        <v>Implement msft defender or similar</v>
      </c>
      <c r="D9" s="28" t="s">
        <v>1281</v>
      </c>
      <c r="E9" s="28" t="str">
        <f>'Risk Treatment Plan'!D9</f>
        <v>Malware or ransomware infections compromising laptop security.</v>
      </c>
      <c r="F9" s="28" t="s">
        <v>325</v>
      </c>
      <c r="G9" t="s">
        <v>218</v>
      </c>
      <c r="H9" s="239"/>
      <c r="I9" s="140">
        <v>45778</v>
      </c>
      <c r="J9" s="28" t="s">
        <v>1283</v>
      </c>
    </row>
    <row r="10" spans="1:10" ht="76.5">
      <c r="A10" s="4" t="str">
        <f>'Risk Treatment Plan'!A10</f>
        <v>R009</v>
      </c>
      <c r="B10" t="str" cm="1">
        <f t="array" ref="B10">IF(A10="", "",
    IF(COUNTIF('Risk Treatment Plan'!A:A, A10)=0, "ERROR: Risk ID Not Found",
        IF(AND(ISNUMBER(VALUE(MID(A10,2,3))), LEFT(A10,1)="R", LEN(A10)=4),
            INDEX(Formulas!E:E, MATCH(FALSE, ISNUMBER(MATCH(Formulas!E:E, 'ISMS Action Tracker'!B$1:B9, 0)), 0)),
            "ERROR: Invalid Risk ID"
        )
    )
)</f>
        <v>AC009</v>
      </c>
      <c r="C10" s="28" t="str">
        <f>'Risk Treatment Plan'!H10</f>
        <v>Store all materials in SharePoint/OneDrive with versioning and daily cloud backup.</v>
      </c>
      <c r="D10" s="28" t="s">
        <v>1281</v>
      </c>
      <c r="E10" s="28" t="str">
        <f>'Risk Treatment Plan'!D10</f>
        <v>Loss of materials due to accidental deletion or system failure.</v>
      </c>
      <c r="F10" s="28" t="s">
        <v>325</v>
      </c>
      <c r="G10" t="s">
        <v>218</v>
      </c>
      <c r="H10" s="239"/>
      <c r="I10" s="140">
        <v>45778</v>
      </c>
      <c r="J10" s="28" t="s">
        <v>1284</v>
      </c>
    </row>
    <row r="11" spans="1:10" ht="51" customHeight="1">
      <c r="A11" s="4" t="str">
        <f>'Risk Treatment Plan'!A11</f>
        <v>R010</v>
      </c>
      <c r="B11" t="str" cm="1">
        <f t="array" ref="B11">IF(A11="", "",
    IF(COUNTIF('Risk Treatment Plan'!A:A, A11)=0, "ERROR: Risk ID Not Found",
        IF(AND(ISNUMBER(VALUE(MID(A11,2,3))), LEFT(A11,1)="R", LEN(A11)=4),
            INDEX(Formulas!E:E, MATCH(FALSE, ISNUMBER(MATCH(Formulas!E:E, 'ISMS Action Tracker'!B$1:B10, 0)), 0)),
            "ERROR: Invalid Risk ID"
        )
    )
)</f>
        <v>AC010</v>
      </c>
      <c r="C11" s="28" t="str">
        <f>'Risk Treatment Plan'!H11</f>
        <v>Apply Sensitivity and restrict sharing</v>
      </c>
      <c r="D11" t="s">
        <v>235</v>
      </c>
      <c r="E11" s="28" t="str">
        <f>'Risk Treatment Plan'!D11</f>
        <v>Theft of intellectual property from proprietary training materials.</v>
      </c>
      <c r="F11" s="28" t="s">
        <v>325</v>
      </c>
      <c r="G11" t="s">
        <v>218</v>
      </c>
      <c r="H11" s="239">
        <v>45808</v>
      </c>
      <c r="I11" s="140">
        <v>45968</v>
      </c>
      <c r="J11" s="28" t="s">
        <v>236</v>
      </c>
    </row>
    <row r="12" spans="1:10" ht="76.5">
      <c r="A12" s="4" t="str">
        <f>'Risk Treatment Plan'!A12</f>
        <v>R011</v>
      </c>
      <c r="B12" t="str" cm="1">
        <f t="array" ref="B12">IF(A12="", "",
    IF(COUNTIF('Risk Treatment Plan'!A:A, A12)=0, "ERROR: Risk ID Not Found",
        IF(AND(ISNUMBER(VALUE(MID(A12,2,3))), LEFT(A12,1)="R", LEN(A12)=4),
            INDEX(Formulas!E:E, MATCH(FALSE, ISNUMBER(MATCH(Formulas!E:E, 'ISMS Action Tracker'!B$1:B11, 0)), 0)),
            "ERROR: Invalid Risk ID"
        )
    )
)</f>
        <v>AC011</v>
      </c>
      <c r="C12" s="28" t="str">
        <f>'Risk Treatment Plan'!H12</f>
        <v>Use SharePoint with restricted editing rights.</v>
      </c>
      <c r="D12" t="s">
        <v>1273</v>
      </c>
      <c r="E12" s="28" t="str">
        <f>'Risk Treatment Plan'!D12</f>
        <v>Unauthorized access or modification of internal policies.</v>
      </c>
      <c r="F12" s="28" t="s">
        <v>325</v>
      </c>
      <c r="G12" t="s">
        <v>218</v>
      </c>
      <c r="H12" s="239"/>
      <c r="I12" s="140">
        <v>45971</v>
      </c>
      <c r="J12" s="28" t="s">
        <v>1285</v>
      </c>
    </row>
    <row r="13" spans="1:10" ht="76.5">
      <c r="A13" s="4" t="str">
        <f>'Risk Treatment Plan'!A13</f>
        <v>R012</v>
      </c>
      <c r="B13" t="str" cm="1">
        <f t="array" ref="B13">IF(A13="", "",
    IF(COUNTIF('Risk Treatment Plan'!A:A, A13)=0, "ERROR: Risk ID Not Found",
        IF(AND(ISNUMBER(VALUE(MID(A13,2,3))), LEFT(A13,1)="R", LEN(A13)=4),
            INDEX(Formulas!E:E, MATCH(FALSE, ISNUMBER(MATCH(Formulas!E:E, 'ISMS Action Tracker'!B$1:B12, 0)), 0)),
            "ERROR: Invalid Risk ID"
        )
    )
)</f>
        <v>AC012</v>
      </c>
      <c r="C13" s="28" t="str">
        <f>'Risk Treatment Plan'!H13</f>
        <v>We are relying on MSFT and Odoo native redundancy functions</v>
      </c>
      <c r="D13" s="28" t="s">
        <v>1286</v>
      </c>
      <c r="E13" s="28" t="str">
        <f>'Risk Treatment Plan'!D13</f>
        <v>Loss of critical documents due to system failure or data corruption.</v>
      </c>
      <c r="F13" s="28" t="s">
        <v>325</v>
      </c>
      <c r="G13" t="s">
        <v>218</v>
      </c>
      <c r="H13" s="239"/>
      <c r="I13" s="140">
        <v>45778</v>
      </c>
      <c r="J13" s="28" t="s">
        <v>1287</v>
      </c>
    </row>
    <row r="14" spans="1:10" ht="76.5">
      <c r="A14" s="4" t="str">
        <f>'Risk Treatment Plan'!A14</f>
        <v>R013</v>
      </c>
      <c r="B14" t="str" cm="1">
        <f t="array" ref="B14">IF(A14="", "",
    IF(COUNTIF('Risk Treatment Plan'!A:A, A14)=0, "ERROR: Risk ID Not Found",
        IF(AND(ISNUMBER(VALUE(MID(A14,2,3))), LEFT(A14,1)="R", LEN(A14)=4),
            INDEX(Formulas!E:E, MATCH(FALSE, ISNUMBER(MATCH(Formulas!E:E, 'ISMS Action Tracker'!B$1:B13, 0)), 0)),
            "ERROR: Invalid Risk ID"
        )
    )
)</f>
        <v>AC013</v>
      </c>
      <c r="C14" s="28" t="str">
        <f>'Risk Treatment Plan'!H14</f>
        <v>We are relying on MSFT and Odoo native logging functions</v>
      </c>
      <c r="D14" s="28" t="s">
        <v>1286</v>
      </c>
      <c r="E14" s="28" t="str">
        <f>'Risk Treatment Plan'!D14</f>
        <v>Data tampering or alteration of audit logs.</v>
      </c>
      <c r="F14" s="28" t="s">
        <v>325</v>
      </c>
      <c r="G14" t="s">
        <v>218</v>
      </c>
      <c r="H14" s="239"/>
      <c r="I14" s="140">
        <v>45778</v>
      </c>
      <c r="J14" s="28" t="s">
        <v>1287</v>
      </c>
    </row>
    <row r="15" spans="1:10" ht="85.5" customHeight="1">
      <c r="A15" s="4" t="str">
        <f>'Risk Treatment Plan'!A15</f>
        <v>R014</v>
      </c>
      <c r="B15" t="str" cm="1">
        <f t="array" ref="B15">IF(A15="", "",
    IF(COUNTIF('Risk Treatment Plan'!A:A, A15)=0, "ERROR: Risk ID Not Found",
        IF(AND(ISNUMBER(VALUE(MID(A15,2,3))), LEFT(A15,1)="R", LEN(A15)=4),
            INDEX(Formulas!E:E, MATCH(FALSE, ISNUMBER(MATCH(Formulas!E:E, 'ISMS Action Tracker'!B$1:B14, 0)), 0)),
            "ERROR: Invalid Risk ID"
        )
    )
)</f>
        <v>AC014</v>
      </c>
      <c r="C15" s="28" t="str">
        <f>'Risk Treatment Plan'!H15</f>
        <v>All trackers are in cloud and backed up to OneDrive</v>
      </c>
      <c r="D15" s="28" t="s">
        <v>1286</v>
      </c>
      <c r="E15" s="28" t="str">
        <f>'Risk Treatment Plan'!D15</f>
        <v>Loss of critical audit data due to system outages or insufficient backups.</v>
      </c>
      <c r="F15" s="28" t="s">
        <v>325</v>
      </c>
      <c r="G15" t="s">
        <v>218</v>
      </c>
      <c r="H15" s="239"/>
      <c r="I15" s="140">
        <v>45778</v>
      </c>
      <c r="J15" s="28" t="s">
        <v>1288</v>
      </c>
    </row>
    <row r="16" spans="1:10" ht="30.75">
      <c r="A16" s="311" t="str">
        <f>'Risk Treatment Plan'!A16</f>
        <v>R015</v>
      </c>
      <c r="B16" s="113" t="str" cm="1">
        <f t="array" ref="B16">IF(A16="", "",
    IF(COUNTIF('Risk Treatment Plan'!A:A, A16)=0, "ERROR: Risk ID Not Found",
        IF(AND(ISNUMBER(VALUE(MID(A16,2,3))), LEFT(A16,1)="R", LEN(A16)=4),
            INDEX(Formulas!E:E, MATCH(FALSE, ISNUMBER(MATCH(Formulas!E:E, 'ISMS Action Tracker'!B$1:B15, 0)), 0)),
            "ERROR: Invalid Risk ID"
        )
    )
)</f>
        <v>AC015</v>
      </c>
      <c r="C16" s="212" t="str">
        <f>'Risk Treatment Plan'!H16</f>
        <v>Manually test the website regularly and restrict access</v>
      </c>
      <c r="D16" s="212" t="s">
        <v>1289</v>
      </c>
      <c r="E16" s="212" t="str">
        <f>'Risk Treatment Plan'!D16</f>
        <v>Website defacement or data breaches via website vulnerabilities.</v>
      </c>
      <c r="F16" s="212" t="s">
        <v>325</v>
      </c>
      <c r="G16" s="113"/>
      <c r="H16" s="312">
        <v>46112</v>
      </c>
      <c r="I16" s="213"/>
      <c r="J16" s="212"/>
    </row>
    <row r="17" spans="1:10" ht="29.25" customHeight="1">
      <c r="A17" s="311" t="str">
        <f>'Risk Treatment Plan'!A17</f>
        <v>R016</v>
      </c>
      <c r="B17" s="113" t="str" cm="1">
        <f t="array" ref="B17">IF(A17="", "",
    IF(COUNTIF('Risk Treatment Plan'!A:A, A17)=0, "ERROR: Risk ID Not Found",
        IF(AND(ISNUMBER(VALUE(MID(A17,2,3))), LEFT(A17,1)="R", LEN(A17)=4),
            INDEX(Formulas!E:E, MATCH(FALSE, ISNUMBER(MATCH(Formulas!E:E, 'ISMS Action Tracker'!B$1:B16, 0)), 0)),
            "ERROR: Invalid Risk ID"
        )
    )
)</f>
        <v>AC016</v>
      </c>
      <c r="C17" s="212" t="str">
        <f>'Risk Treatment Plan'!H17</f>
        <v>Not a critical function</v>
      </c>
      <c r="D17" s="212" t="s">
        <v>1290</v>
      </c>
      <c r="E17" s="212" t="str">
        <f>'Risk Treatment Plan'!D17</f>
        <v>Distributed Denial of Service (DDoS) attacks that make the website unavailable.</v>
      </c>
      <c r="F17" s="212" t="s">
        <v>325</v>
      </c>
      <c r="G17" s="113"/>
      <c r="H17" s="312">
        <v>46112</v>
      </c>
      <c r="I17" s="213"/>
      <c r="J17" s="212"/>
    </row>
    <row r="18" spans="1:10" ht="30.75">
      <c r="A18" s="311" t="str">
        <f>'Risk Treatment Plan'!A18</f>
        <v>R017</v>
      </c>
      <c r="B18" s="113" t="str" cm="1">
        <f t="array" ref="B18">IF(A18="", "",
    IF(COUNTIF('Risk Treatment Plan'!A:A, A18)=0, "ERROR: Risk ID Not Found",
        IF(AND(ISNUMBER(VALUE(MID(A18,2,3))), LEFT(A18,1)="R", LEN(A18)=4),
            INDEX(Formulas!E:E, MATCH(FALSE, ISNUMBER(MATCH(Formulas!E:E, 'ISMS Action Tracker'!B$1:B17, 0)), 0)),
            "ERROR: Invalid Risk ID"
        )
    )
)</f>
        <v>AC017</v>
      </c>
      <c r="C18" s="212" t="str">
        <f>'Risk Treatment Plan'!H18</f>
        <v>Use security groups and individual access RBAC</v>
      </c>
      <c r="D18" s="113" t="s">
        <v>1273</v>
      </c>
      <c r="E18" s="212" t="str">
        <f>'Risk Treatment Plan'!D18</f>
        <v>Unauthorized access or misuse of company resources by contractors.</v>
      </c>
      <c r="F18" s="212" t="s">
        <v>325</v>
      </c>
      <c r="G18" s="113"/>
      <c r="H18" s="312">
        <v>46112</v>
      </c>
      <c r="I18" s="213"/>
      <c r="J18" s="212"/>
    </row>
    <row r="19" spans="1:10" ht="91.5">
      <c r="A19" s="4" t="str">
        <f>'Risk Treatment Plan'!A19</f>
        <v>R018</v>
      </c>
      <c r="B19" t="str" cm="1">
        <f t="array" ref="B19">IF(A19="", "",
    IF(COUNTIF('Risk Treatment Plan'!A:A, A19)=0, "ERROR: Risk ID Not Found",
        IF(AND(ISNUMBER(VALUE(MID(A19,2,3))), LEFT(A19,1)="R", LEN(A19)=4),
            INDEX(Formulas!E:E, MATCH(FALSE, ISNUMBER(MATCH(Formulas!E:E, 'ISMS Action Tracker'!B$1:B18, 0)), 0)),
            "ERROR: Invalid Risk ID"
        )
    )
)</f>
        <v>AC018</v>
      </c>
      <c r="C19" s="28" t="str">
        <f>'Risk Treatment Plan'!H19</f>
        <v>Restrict access to only required data and apply watermarking/sensitivity labels.</v>
      </c>
      <c r="D19" s="28" t="s">
        <v>1291</v>
      </c>
      <c r="E19" s="28" t="str">
        <f>'Risk Treatment Plan'!D19</f>
        <v>Contractors exposing sensitive data to third parties unintentionally or maliciously.</v>
      </c>
      <c r="F19" s="28" t="s">
        <v>325</v>
      </c>
      <c r="G19" t="s">
        <v>218</v>
      </c>
      <c r="H19" s="239"/>
      <c r="I19" s="140">
        <v>45971</v>
      </c>
      <c r="J19" s="28" t="s">
        <v>1292</v>
      </c>
    </row>
    <row r="20" spans="1:10" ht="30.75">
      <c r="A20" s="311" t="str">
        <f>'Risk Treatment Plan'!A20</f>
        <v>R019</v>
      </c>
      <c r="B20" s="113" t="str" cm="1">
        <f t="array" ref="B20">IF(A20="", "",
    IF(COUNTIF('Risk Treatment Plan'!A:A, A20)=0, "ERROR: Risk ID Not Found",
        IF(AND(ISNUMBER(VALUE(MID(A20,2,3))), LEFT(A20,1)="R", LEN(A20)=4),
            INDEX(Formulas!E:E, MATCH(FALSE, ISNUMBER(MATCH(Formulas!E:E, 'ISMS Action Tracker'!B$1:B19, 0)), 0)),
            "ERROR: Invalid Risk ID"
        )
    )
)</f>
        <v>AC019</v>
      </c>
      <c r="C20" s="212" t="str">
        <f>'Risk Treatment Plan'!H20</f>
        <v>Enable autosave and document co-authoring in M365 with recovery enabled.</v>
      </c>
      <c r="D20" s="212" t="s">
        <v>1276</v>
      </c>
      <c r="E20" s="212" t="str">
        <f>'Risk Treatment Plan'!D20</f>
        <v>Accidental data loss or disclosure due to human error.</v>
      </c>
      <c r="F20" s="212" t="s">
        <v>325</v>
      </c>
      <c r="G20" s="113"/>
      <c r="H20" s="312"/>
      <c r="I20" s="213"/>
      <c r="J20" s="212"/>
    </row>
    <row r="21" spans="1:10" ht="45.75">
      <c r="A21" s="4" t="str">
        <f>'Risk Treatment Plan'!A21</f>
        <v>R020</v>
      </c>
      <c r="B21" t="str" cm="1">
        <f t="array" ref="B21">IF(A21="", "",
    IF(COUNTIF('Risk Treatment Plan'!A:A, A21)=0, "ERROR: Risk ID Not Found",
        IF(AND(ISNUMBER(VALUE(MID(A21,2,3))), LEFT(A21,1)="R", LEN(A21)=4),
            INDEX(Formulas!E:E, MATCH(FALSE, ISNUMBER(MATCH(Formulas!E:E, 'ISMS Action Tracker'!B$1:B20, 0)), 0)),
            "ERROR: Invalid Risk ID"
        )
    )
)</f>
        <v>AC020</v>
      </c>
      <c r="C21" s="28" t="str">
        <f>'Risk Treatment Plan'!H21</f>
        <v>Ensure information security awareness is provided.</v>
      </c>
      <c r="D21" s="28" t="s">
        <v>1293</v>
      </c>
      <c r="E21" s="28" t="str">
        <f>'Risk Treatment Plan'!D21</f>
        <v>Social engineering or phishing attacks targeting employees.</v>
      </c>
      <c r="F21" s="28" t="s">
        <v>325</v>
      </c>
      <c r="G21" t="s">
        <v>218</v>
      </c>
      <c r="H21" s="239"/>
      <c r="I21" s="140">
        <v>45778</v>
      </c>
      <c r="J21" s="28" t="s">
        <v>1283</v>
      </c>
    </row>
    <row r="22" spans="1:10" ht="30.75">
      <c r="A22" s="311" t="str">
        <f>'Risk Treatment Plan'!A22</f>
        <v>R021</v>
      </c>
      <c r="B22" s="113" t="str" cm="1">
        <f t="array" ref="B22">IF(A22="", "",
    IF(COUNTIF('Risk Treatment Plan'!A:A, A22)=0, "ERROR: Risk ID Not Found",
        IF(AND(ISNUMBER(VALUE(MID(A22,2,3))), LEFT(A22,1)="R", LEN(A22)=4),
            INDEX(Formulas!E:E, MATCH(FALSE, ISNUMBER(MATCH(Formulas!E:E, 'ISMS Action Tracker'!B$1:B21, 0)), 0)),
            "ERROR: Invalid Risk ID"
        )
    )
)</f>
        <v>AC021</v>
      </c>
      <c r="C22" s="212" t="str">
        <f>'Risk Treatment Plan'!H22</f>
        <v>Policy states no sensitive data on laptops or phones</v>
      </c>
      <c r="D22" s="212" t="s">
        <v>1293</v>
      </c>
      <c r="E22" s="212" t="str">
        <f>'Risk Treatment Plan'!D22</f>
        <v>Loss or theft of mobile devices with sensitive company data.</v>
      </c>
      <c r="F22" s="212" t="s">
        <v>325</v>
      </c>
      <c r="G22" s="113"/>
      <c r="H22" s="312"/>
      <c r="I22" s="213"/>
      <c r="J22" s="212"/>
    </row>
    <row r="23" spans="1:10" ht="30.75">
      <c r="A23" s="311" t="str">
        <f>'Risk Treatment Plan'!A23</f>
        <v>R022</v>
      </c>
      <c r="B23" s="113" t="str" cm="1">
        <f t="array" ref="B23">IF(A23="", "",
    IF(COUNTIF('Risk Treatment Plan'!A:A, A23)=0, "ERROR: Risk ID Not Found",
        IF(AND(ISNUMBER(VALUE(MID(A23,2,3))), LEFT(A23,1)="R", LEN(A23)=4),
            INDEX(Formulas!E:E, MATCH(FALSE, ISNUMBER(MATCH(Formulas!E:E, 'ISMS Action Tracker'!B$1:B22, 0)), 0)),
            "ERROR: Invalid Risk ID"
        )
    )
)</f>
        <v>AC022</v>
      </c>
      <c r="C23" s="212" t="str">
        <f>'Risk Treatment Plan'!H23</f>
        <v>Implement msft defender or similar</v>
      </c>
      <c r="D23" s="212" t="s">
        <v>1293</v>
      </c>
      <c r="E23" s="212" t="str">
        <f>'Risk Treatment Plan'!D23</f>
        <v>Malware infections on personal phones leading to data compromise.</v>
      </c>
      <c r="F23" s="212" t="s">
        <v>325</v>
      </c>
      <c r="G23" s="113"/>
      <c r="H23" s="312"/>
      <c r="I23" s="213"/>
      <c r="J23" s="212"/>
    </row>
    <row r="24" spans="1:10" ht="30.75">
      <c r="A24" s="4" t="str">
        <f>'Risk Treatment Plan'!A24</f>
        <v>R023</v>
      </c>
      <c r="B24" t="str" cm="1">
        <f t="array" ref="B24">IF(A24="", "",
    IF(COUNTIF('Risk Treatment Plan'!A:A, A24)=0, "ERROR: Risk ID Not Found",
        IF(AND(ISNUMBER(VALUE(MID(A24,2,3))), LEFT(A24,1)="R", LEN(A24)=4),
            INDEX(Formulas!E:E, MATCH(FALSE, ISNUMBER(MATCH(Formulas!E:E, 'ISMS Action Tracker'!B$1:B23, 0)), 0)),
            "ERROR: Invalid Risk ID"
        )
    )
)</f>
        <v>AC023</v>
      </c>
      <c r="C24" s="28" t="str">
        <f>'Risk Treatment Plan'!H24</f>
        <v>MFA implemented</v>
      </c>
      <c r="D24" s="28" t="s">
        <v>1294</v>
      </c>
      <c r="E24" s="28" t="str">
        <f>'Risk Treatment Plan'!D24</f>
        <v>Unauthorized access to the platform or its data.</v>
      </c>
      <c r="F24" s="28" t="s">
        <v>325</v>
      </c>
      <c r="G24" t="s">
        <v>218</v>
      </c>
      <c r="H24" s="239"/>
      <c r="I24" s="213"/>
      <c r="J24" s="212"/>
    </row>
    <row r="25" spans="1:10" ht="30.75">
      <c r="A25" s="311" t="str">
        <f>'Risk Treatment Plan'!A25</f>
        <v>R024</v>
      </c>
      <c r="B25" s="113" t="str" cm="1">
        <f t="array" ref="B25">IF(A25="", "",
    IF(COUNTIF('Risk Treatment Plan'!A:A, A25)=0, "ERROR: Risk ID Not Found",
        IF(AND(ISNUMBER(VALUE(MID(A25,2,3))), LEFT(A25,1)="R", LEN(A25)=4),
            INDEX(Formulas!E:E, MATCH(FALSE, ISNUMBER(MATCH(Formulas!E:E, 'ISMS Action Tracker'!B$1:B24, 0)), 0)),
            "ERROR: Invalid Risk ID"
        )
    )
)</f>
        <v>AC024</v>
      </c>
      <c r="C25" s="212" t="str">
        <f>'Risk Treatment Plan'!H25</f>
        <v>Enable audit trail modules and assign least privilege roles.</v>
      </c>
      <c r="D25" s="212" t="s">
        <v>1295</v>
      </c>
      <c r="E25" s="212" t="str">
        <f>'Risk Treatment Plan'!D25</f>
        <v>Data leakage or unauthorized modification of Odoo records.</v>
      </c>
      <c r="F25" s="212" t="s">
        <v>325</v>
      </c>
      <c r="G25" s="113"/>
      <c r="H25" s="239"/>
      <c r="I25" s="213"/>
      <c r="J25" s="212"/>
    </row>
    <row r="26" spans="1:10" ht="15" customHeight="1">
      <c r="A26" s="311" t="str">
        <f>'Risk Treatment Plan'!A26</f>
        <v>R025</v>
      </c>
      <c r="B26" s="113" t="str" cm="1">
        <f t="array" ref="B26">IF(A26="", "",
    IF(COUNTIF('Risk Treatment Plan'!A:A, A26)=0, "ERROR: Risk ID Not Found",
        IF(AND(ISNUMBER(VALUE(MID(A26,2,3))), LEFT(A26,1)="R", LEN(A26)=4),
            INDEX(Formulas!E:E, MATCH(FALSE, ISNUMBER(MATCH(Formulas!E:E, 'ISMS Action Tracker'!B$1:B25, 0)), 0)),
            "ERROR: Invalid Risk ID"
        )
    )
)</f>
        <v>AC025</v>
      </c>
      <c r="C26" s="212" t="str">
        <f>'Risk Treatment Plan'!H26</f>
        <v>Mandate MFA for all Azure roles </v>
      </c>
      <c r="D26" s="212" t="s">
        <v>1294</v>
      </c>
      <c r="E26" s="212" t="str">
        <f>'Risk Treatment Plan'!D26</f>
        <v>Unauthorized access to cloud resources via compromised credentials.</v>
      </c>
      <c r="F26" s="212" t="s">
        <v>325</v>
      </c>
      <c r="G26" s="113"/>
      <c r="H26" s="239"/>
      <c r="I26" s="213"/>
      <c r="J26" s="212"/>
    </row>
    <row r="27" spans="1:10" ht="30.75">
      <c r="A27" s="311" t="str">
        <f>'Risk Treatment Plan'!A27</f>
        <v>R026</v>
      </c>
      <c r="B27" s="113" t="str" cm="1">
        <f t="array" ref="B27">IF(A27="", "",
    IF(COUNTIF('Risk Treatment Plan'!A:A, A27)=0, "ERROR: Risk ID Not Found",
        IF(AND(ISNUMBER(VALUE(MID(A27,2,3))), LEFT(A27,1)="R", LEN(A27)=4),
            INDEX(Formulas!E:E, MATCH(FALSE, ISNUMBER(MATCH(Formulas!E:E, 'ISMS Action Tracker'!B$1:B26, 0)), 0)),
            "ERROR: Invalid Risk ID"
        )
    )
)</f>
        <v>AC026</v>
      </c>
      <c r="C27" s="212" t="str">
        <f>'Risk Treatment Plan'!H27</f>
        <v>Implement Azure Site Recovery and run BCP tests yearly.</v>
      </c>
      <c r="D27" s="212" t="s">
        <v>1296</v>
      </c>
      <c r="E27" s="212" t="str">
        <f>'Risk Treatment Plan'!D27</f>
        <v>Service disruptions or outages affecting business continuity.</v>
      </c>
      <c r="F27" s="212" t="s">
        <v>325</v>
      </c>
      <c r="G27" s="113"/>
      <c r="H27" s="239"/>
      <c r="I27" s="213"/>
      <c r="J27" s="212"/>
    </row>
    <row r="28" spans="1:10" ht="30.75">
      <c r="A28" s="311" t="str">
        <f>'Risk Treatment Plan'!A28</f>
        <v>R027</v>
      </c>
      <c r="B28" s="113" t="str" cm="1">
        <f t="array" ref="B28">IF(A28="", "",
    IF(COUNTIF('Risk Treatment Plan'!A:A, A28)=0, "ERROR: Risk ID Not Found",
        IF(AND(ISNUMBER(VALUE(MID(A28,2,3))), LEFT(A28,1)="R", LEN(A28)=4),
            INDEX(Formulas!E:E, MATCH(FALSE, ISNUMBER(MATCH(Formulas!E:E, 'ISMS Action Tracker'!B$1:B27, 0)), 0)),
            "ERROR: Invalid Risk ID"
        )
    )
)</f>
        <v>AC027</v>
      </c>
      <c r="C28" s="212" t="str">
        <f>'Risk Treatment Plan'!H28</f>
        <v>Set default sharing to "People in organization only" and auto-expiry for guest links.</v>
      </c>
      <c r="D28" s="212" t="s">
        <v>1289</v>
      </c>
      <c r="E28" s="212" t="str">
        <f>'Risk Treatment Plan'!D28</f>
        <v>Data leaks or breaches from improperly configured SharePoint sharing settings.</v>
      </c>
      <c r="F28" s="212" t="s">
        <v>325</v>
      </c>
      <c r="G28" s="113"/>
      <c r="H28" s="239"/>
      <c r="I28" s="213"/>
      <c r="J28" s="212"/>
    </row>
    <row r="29" spans="1:10" ht="30.75">
      <c r="A29" s="311" t="str">
        <f>'Risk Treatment Plan'!A29</f>
        <v>R028</v>
      </c>
      <c r="B29" s="113" t="str" cm="1">
        <f t="array" ref="B29">IF(A29="", "",
    IF(COUNTIF('Risk Treatment Plan'!A:A, A29)=0, "ERROR: Risk ID Not Found",
        IF(AND(ISNUMBER(VALUE(MID(A29,2,3))), LEFT(A29,1)="R", LEN(A29)=4),
            INDEX(Formulas!E:E, MATCH(FALSE, ISNUMBER(MATCH(Formulas!E:E, 'ISMS Action Tracker'!B$1:B28, 0)), 0)),
            "ERROR: Invalid Risk ID"
        )
    )
)</f>
        <v>AC028</v>
      </c>
      <c r="C29" s="212" t="str">
        <f>'Risk Treatment Plan'!H29</f>
        <v>Training for all employees, partners and contractors</v>
      </c>
      <c r="D29" s="212" t="s">
        <v>1276</v>
      </c>
      <c r="E29" s="212" t="str">
        <f>'Risk Treatment Plan'!D29</f>
        <v>Phishing or social engineering attacks targeting Microsoft 365 users.</v>
      </c>
      <c r="F29" s="212" t="s">
        <v>325</v>
      </c>
      <c r="G29" s="113"/>
      <c r="H29" s="239"/>
      <c r="I29" s="213"/>
      <c r="J29" s="212"/>
    </row>
    <row r="30" spans="1:10" ht="76.5">
      <c r="A30" s="311" t="s">
        <v>1195</v>
      </c>
      <c r="B30" s="113" t="str" cm="1">
        <f t="array" ref="B30">IF(A30="", "",
    IF(COUNTIF('Risk Treatment Plan'!A:A, A30)=0, "ERROR: Risk ID Not Found",
        IF(AND(ISNUMBER(VALUE(MID(A30,2,3))), LEFT(A30,1)="R", LEN(A30)=4),
            INDEX(Formulas!E:E, MATCH(FALSE, ISNUMBER(MATCH(Formulas!E:E, 'ISMS Action Tracker'!B$1:B29, 0)), 0)),
            "ERROR: Invalid Risk ID"
        )
    )
)</f>
        <v>AC029</v>
      </c>
      <c r="C30" s="212" t="str">
        <f>'Risk Treatment Plan'!H30</f>
        <v>To stay informed about the latest security vulnerabilities affecting Microsoft 365, Azure, SharePoint, and OneDrive, you can utilize several official Microsoft resources: MS365 Security Updates, Azure Security Updates, SharePoint Security Updetes, OneDrive Security Updates and Microsoft Security Advisories.</v>
      </c>
      <c r="D30" s="212" t="s">
        <v>1297</v>
      </c>
      <c r="E30" s="212" t="str">
        <f>'Risk Treatment Plan'!D30</f>
        <v>Threats and deficiencies gathered using MS Defender so that identified vulnerabilities may be mitigated.</v>
      </c>
      <c r="F30" s="212" t="s">
        <v>325</v>
      </c>
      <c r="G30" s="113"/>
      <c r="H30" s="312"/>
      <c r="I30" s="213"/>
      <c r="J30" s="212"/>
    </row>
    <row r="31" spans="1:10">
      <c r="B31" t="str" cm="1">
        <f t="array" ref="B31">IF(A31="", "",
    IF(COUNTIF('Risk Treatment Plan'!A:A, A31)=0, "ERROR: Risk ID Not Found",
        IF(AND(ISNUMBER(VALUE(MID(A31,2,3))), LEFT(A31,1)="R", LEN(A31)=4),
            INDEX(Formulas!E:E, MATCH(FALSE, ISNUMBER(MATCH(Formulas!E:E, 'ISMS Action Tracker'!B$1:B30, 0)), 0)),
            "ERROR: Invalid Risk ID"
        )
    )
)</f>
        <v/>
      </c>
      <c r="F31" s="28"/>
      <c r="H31" s="239"/>
      <c r="I31" s="140"/>
      <c r="J31" s="28"/>
    </row>
    <row r="32" spans="1:10">
      <c r="B32" t="str" cm="1">
        <f t="array" ref="B32">IF(A32="", "",
    IF(COUNTIF('Risk Treatment Plan'!A:A, A32)=0, "ERROR: Risk ID Not Found",
        IF(AND(ISNUMBER(VALUE(MID(A32,2,3))), LEFT(A32,1)="R", LEN(A32)=4),
            INDEX(Formulas!E:E, MATCH(FALSE, ISNUMBER(MATCH(Formulas!E:E, 'ISMS Action Tracker'!B$1:B31, 0)), 0)),
            "ERROR: Invalid Risk ID"
        )
    )
)</f>
        <v/>
      </c>
      <c r="F32" s="28"/>
      <c r="H32" s="239"/>
      <c r="I32" s="140"/>
      <c r="J32" s="28"/>
    </row>
    <row r="33" spans="2:10">
      <c r="B33" t="str" cm="1">
        <f t="array" ref="B33">IF(A33="", "",
    IF(COUNTIF('Risk Treatment Plan'!A:A, A33)=0, "ERROR: Risk ID Not Found",
        IF(AND(ISNUMBER(VALUE(MID(A33,2,3))), LEFT(A33,1)="R", LEN(A33)=4),
            INDEX(Formulas!E:E, MATCH(FALSE, ISNUMBER(MATCH(Formulas!E:E, 'ISMS Action Tracker'!B$1:B32, 0)), 0)),
            "ERROR: Invalid Risk ID"
        )
    )
)</f>
        <v/>
      </c>
      <c r="D33" s="28"/>
      <c r="F33" s="28"/>
      <c r="H33" s="239"/>
      <c r="I33" s="140"/>
      <c r="J33" s="28"/>
    </row>
    <row r="34" spans="2:10">
      <c r="B34" t="str" cm="1">
        <f t="array" ref="B34">IF(A34="", "",
    IF(COUNTIF('Risk Treatment Plan'!A:A, A34)=0, "ERROR: Risk ID Not Found",
        IF(AND(ISNUMBER(VALUE(MID(A34,2,3))), LEFT(A34,1)="R", LEN(A34)=4),
            INDEX(Formulas!E:E, MATCH(FALSE, ISNUMBER(MATCH(Formulas!E:E, 'ISMS Action Tracker'!B$1:B33, 0)), 0)),
            "ERROR: Invalid Risk ID"
        )
    )
)</f>
        <v/>
      </c>
      <c r="F34" s="28"/>
      <c r="H34" s="239"/>
      <c r="I34" s="140"/>
      <c r="J34" s="28"/>
    </row>
    <row r="35" spans="2:10">
      <c r="B35" t="str" cm="1">
        <f t="array" ref="B35">IF(A35="", "",
    IF(COUNTIF('Risk Treatment Plan'!A:A, A35)=0, "ERROR: Risk ID Not Found",
        IF(AND(ISNUMBER(VALUE(MID(A35,2,3))), LEFT(A35,1)="R", LEN(A35)=4),
            INDEX(Formulas!E:E, MATCH(FALSE, ISNUMBER(MATCH(Formulas!E:E, 'ISMS Action Tracker'!B$1:B34, 0)), 0)),
            "ERROR: Invalid Risk ID"
        )
    )
)</f>
        <v/>
      </c>
      <c r="F35" s="28"/>
      <c r="H35" s="239"/>
      <c r="I35" s="140"/>
      <c r="J35" s="28"/>
    </row>
    <row r="36" spans="2:10">
      <c r="B36" t="str" cm="1">
        <f t="array" ref="B36">IF(A36="", "",
    IF(COUNTIF('Risk Treatment Plan'!A:A, A36)=0, "ERROR: Risk ID Not Found",
        IF(AND(ISNUMBER(VALUE(MID(A36,2,3))), LEFT(A36,1)="R", LEN(A36)=4),
            INDEX(Formulas!E:E, MATCH(FALSE, ISNUMBER(MATCH(Formulas!E:E, 'ISMS Action Tracker'!B$1:B35, 0)), 0)),
            "ERROR: Invalid Risk ID"
        )
    )
)</f>
        <v/>
      </c>
      <c r="F36" s="28"/>
      <c r="H36" s="239"/>
      <c r="I36" s="140"/>
      <c r="J36" s="28"/>
    </row>
    <row r="37" spans="2:10">
      <c r="B37" t="str" cm="1">
        <f t="array" ref="B37">IF(A37="", "",
    IF(COUNTIF('Risk Treatment Plan'!A:A, A37)=0, "ERROR: Risk ID Not Found",
        IF(AND(ISNUMBER(VALUE(MID(A37,2,3))), LEFT(A37,1)="R", LEN(A37)=4),
            INDEX(Formulas!E:E, MATCH(FALSE, ISNUMBER(MATCH(Formulas!E:E, 'ISMS Action Tracker'!B$1:B36, 0)), 0)),
            "ERROR: Invalid Risk ID"
        )
    )
)</f>
        <v/>
      </c>
      <c r="F37" s="28"/>
      <c r="H37" s="239"/>
      <c r="I37" s="140"/>
      <c r="J37" s="28"/>
    </row>
    <row r="38" spans="2:10">
      <c r="B38" t="str" cm="1">
        <f t="array" ref="B38">IF(A38="", "",
    IF(COUNTIF('Risk Treatment Plan'!A:A, A38)=0, "ERROR: Risk ID Not Found",
        IF(AND(ISNUMBER(VALUE(MID(A38,2,3))), LEFT(A38,1)="R", LEN(A38)=4),
            INDEX(Formulas!E:E, MATCH(FALSE, ISNUMBER(MATCH(Formulas!E:E, 'ISMS Action Tracker'!B$1:B37, 0)), 0)),
            "ERROR: Invalid Risk ID"
        )
    )
)</f>
        <v/>
      </c>
      <c r="F38" s="28"/>
      <c r="H38" s="239"/>
      <c r="I38" s="140"/>
      <c r="J38" s="28"/>
    </row>
    <row r="39" spans="2:10">
      <c r="B39" t="str" cm="1">
        <f t="array" ref="B39">IF(A39="", "",
    IF(COUNTIF('Risk Treatment Plan'!A:A, A39)=0, "ERROR: Risk ID Not Found",
        IF(AND(ISNUMBER(VALUE(MID(A39,2,3))), LEFT(A39,1)="R", LEN(A39)=4),
            INDEX(Formulas!E:E, MATCH(FALSE, ISNUMBER(MATCH(Formulas!E:E, 'ISMS Action Tracker'!B$1:B38, 0)), 0)),
            "ERROR: Invalid Risk ID"
        )
    )
)</f>
        <v/>
      </c>
      <c r="F39" s="28"/>
      <c r="H39" s="239"/>
      <c r="I39" s="140"/>
      <c r="J39" s="28"/>
    </row>
    <row r="40" spans="2:10">
      <c r="B40" t="str" cm="1">
        <f t="array" ref="B40">IF(A40="", "",
    IF(COUNTIF('Risk Treatment Plan'!A:A, A40)=0, "ERROR: Risk ID Not Found",
        IF(AND(ISNUMBER(VALUE(MID(A40,2,3))), LEFT(A40,1)="R", LEN(A40)=4),
            INDEX(Formulas!E:E, MATCH(FALSE, ISNUMBER(MATCH(Formulas!E:E, 'ISMS Action Tracker'!B$1:B39, 0)), 0)),
            "ERROR: Invalid Risk ID"
        )
    )
)</f>
        <v/>
      </c>
      <c r="F40" s="28"/>
      <c r="H40" s="239"/>
      <c r="I40" s="140"/>
      <c r="J40" s="28"/>
    </row>
    <row r="41" spans="2:10">
      <c r="B41" t="str" cm="1">
        <f t="array" ref="B41">IF(A41="", "",
    IF(COUNTIF('Risk Treatment Plan'!A:A, A41)=0, "ERROR: Risk ID Not Found",
        IF(AND(ISNUMBER(VALUE(MID(A41,2,3))), LEFT(A41,1)="R", LEN(A41)=4),
            INDEX(Formulas!E:E, MATCH(FALSE, ISNUMBER(MATCH(Formulas!E:E, 'ISMS Action Tracker'!B$1:B40, 0)), 0)),
            "ERROR: Invalid Risk ID"
        )
    )
)</f>
        <v/>
      </c>
      <c r="F41" s="28"/>
      <c r="H41" s="239"/>
      <c r="I41" s="140"/>
      <c r="J41" s="28"/>
    </row>
    <row r="42" spans="2:10">
      <c r="B42" t="str" cm="1">
        <f t="array" ref="B42">IF(A42="", "",
    IF(COUNTIF('Risk Treatment Plan'!A:A, A42)=0, "ERROR: Risk ID Not Found",
        IF(AND(ISNUMBER(VALUE(MID(A42,2,3))), LEFT(A42,1)="R", LEN(A42)=4),
            INDEX(Formulas!E:E, MATCH(FALSE, ISNUMBER(MATCH(Formulas!E:E, 'ISMS Action Tracker'!B$1:B41, 0)), 0)),
            "ERROR: Invalid Risk ID"
        )
    )
)</f>
        <v/>
      </c>
      <c r="F42" s="28"/>
      <c r="H42" s="239"/>
      <c r="I42" s="140"/>
      <c r="J42" s="28"/>
    </row>
    <row r="43" spans="2:10">
      <c r="B43" t="str" cm="1">
        <f t="array" ref="B43">IF(A43="", "",
    IF(COUNTIF('Risk Treatment Plan'!A:A, A43)=0, "ERROR: Risk ID Not Found",
        IF(AND(ISNUMBER(VALUE(MID(A43,2,3))), LEFT(A43,1)="R", LEN(A43)=4),
            INDEX(Formulas!E:E, MATCH(FALSE, ISNUMBER(MATCH(Formulas!E:E, 'ISMS Action Tracker'!B$1:B42, 0)), 0)),
            "ERROR: Invalid Risk ID"
        )
    )
)</f>
        <v/>
      </c>
      <c r="F43" s="28"/>
      <c r="H43" s="239"/>
      <c r="I43" s="140"/>
      <c r="J43" s="28"/>
    </row>
    <row r="44" spans="2:10">
      <c r="B44" t="str" cm="1">
        <f t="array" ref="B44">IF(A44="", "",
    IF(COUNTIF('Risk Treatment Plan'!A:A, A44)=0, "ERROR: Risk ID Not Found",
        IF(AND(ISNUMBER(VALUE(MID(A44,2,3))), LEFT(A44,1)="R", LEN(A44)=4),
            INDEX(Formulas!E:E, MATCH(FALSE, ISNUMBER(MATCH(Formulas!E:E, 'ISMS Action Tracker'!B$1:B43, 0)), 0)),
            "ERROR: Invalid Risk ID"
        )
    )
)</f>
        <v/>
      </c>
      <c r="F44" s="28"/>
      <c r="H44" s="240"/>
      <c r="I44" s="140"/>
      <c r="J44" s="28"/>
    </row>
    <row r="45" spans="2:10">
      <c r="B45" t="str" cm="1">
        <f t="array" ref="B45">IF(A45="", "",
    IF(COUNTIF('Risk Treatment Plan'!A:A, A45)=0, "ERROR: Risk ID Not Found",
        IF(AND(ISNUMBER(VALUE(MID(A45,2,3))), LEFT(A45,1)="R", LEN(A45)=4),
            INDEX(Formulas!E:E, MATCH(FALSE, ISNUMBER(MATCH(Formulas!E:E, 'ISMS Action Tracker'!B$1:B44, 0)), 0)),
            "ERROR: Invalid Risk ID"
        )
    )
)</f>
        <v/>
      </c>
      <c r="F45" s="28"/>
      <c r="H45" s="240"/>
      <c r="J45" s="28"/>
    </row>
    <row r="46" spans="2:10">
      <c r="B46" t="str" cm="1">
        <f t="array" ref="B46">IF(A46="", "",
    IF(COUNTIF('Risk Treatment Plan'!A:A, A46)=0, "ERROR: Risk ID Not Found",
        IF(AND(ISNUMBER(VALUE(MID(A46,2,3))), LEFT(A46,1)="R", LEN(A46)=4),
            INDEX(Formulas!E:E, MATCH(FALSE, ISNUMBER(MATCH(Formulas!E:E, 'ISMS Action Tracker'!B$1:B45, 0)), 0)),
            "ERROR: Invalid Risk ID"
        )
    )
)</f>
        <v/>
      </c>
      <c r="F46" s="28"/>
      <c r="H46" s="240"/>
      <c r="J46" s="28"/>
    </row>
    <row r="47" spans="2:10">
      <c r="B47" t="str" cm="1">
        <f t="array" ref="B47">IF(A47="", "",
    IF(COUNTIF('Risk Treatment Plan'!A:A, A47)=0, "ERROR: Risk ID Not Found",
        IF(AND(ISNUMBER(VALUE(MID(A47,2,3))), LEFT(A47,1)="R", LEN(A47)=4),
            INDEX(Formulas!E:E, MATCH(FALSE, ISNUMBER(MATCH(Formulas!E:E, 'ISMS Action Tracker'!B$1:B46, 0)), 0)),
            "ERROR: Invalid Risk ID"
        )
    )
)</f>
        <v/>
      </c>
      <c r="F47" s="28"/>
      <c r="H47" s="101"/>
      <c r="J47" s="28"/>
    </row>
    <row r="48" spans="2:10">
      <c r="B48" t="str" cm="1">
        <f t="array" ref="B48">IF(A48="", "",
    IF(COUNTIF('Risk Treatment Plan'!A:A, A48)=0, "ERROR: Risk ID Not Found",
        IF(AND(ISNUMBER(VALUE(MID(A48,2,3))), LEFT(A48,1)="R", LEN(A48)=4),
            INDEX(Formulas!E:E, MATCH(FALSE, ISNUMBER(MATCH(Formulas!E:E, 'ISMS Action Tracker'!B$1:B47, 0)), 0)),
            "ERROR: Invalid Risk ID"
        )
    )
)</f>
        <v/>
      </c>
      <c r="F48" s="28"/>
      <c r="H48" s="101"/>
      <c r="J48" s="28"/>
    </row>
    <row r="49" spans="2:8">
      <c r="B49" t="str" cm="1">
        <f t="array" ref="B49">IF(A49="", "",
    IF(COUNTIF('Risk Treatment Plan'!A:A, A49)=0, "ERROR: Risk ID Not Found",
        IF(AND(ISNUMBER(VALUE(MID(A49,2,3))), LEFT(A49,1)="R", LEN(A49)=4),
            INDEX(Formulas!E:E, MATCH(FALSE, ISNUMBER(MATCH(Formulas!E:E, 'ISMS Action Tracker'!B$1:B48, 0)), 0)),
            "ERROR: Invalid Risk ID"
        )
    )
)</f>
        <v/>
      </c>
      <c r="H49" s="101"/>
    </row>
    <row r="50" spans="2:8">
      <c r="B50" t="str" cm="1">
        <f t="array" ref="B50">IF(A50="", "",
    IF(COUNTIF('Risk Treatment Plan'!A:A, A50)=0, "ERROR: Risk ID Not Found",
        IF(AND(ISNUMBER(VALUE(MID(A50,2,3))), LEFT(A50,1)="R", LEN(A50)=4),
            INDEX(Formulas!E:E, MATCH(FALSE, ISNUMBER(MATCH(Formulas!E:E, 'ISMS Action Tracker'!B$1:B49, 0)), 0)),
            "ERROR: Invalid Risk ID"
        )
    )
)</f>
        <v/>
      </c>
      <c r="H50" s="101"/>
    </row>
    <row r="51" spans="2:8">
      <c r="B51" t="str" cm="1">
        <f t="array" ref="B51">IF(A51="", "",
    IF(COUNTIF('Risk Treatment Plan'!A:A, A51)=0, "ERROR: Risk ID Not Found",
        IF(AND(ISNUMBER(VALUE(MID(A51,2,3))), LEFT(A51,1)="R", LEN(A51)=4),
            INDEX(Formulas!E:E, MATCH(FALSE, ISNUMBER(MATCH(Formulas!E:E, 'ISMS Action Tracker'!B$1:B50, 0)), 0)),
            "ERROR: Invalid Risk ID"
        )
    )
)</f>
        <v/>
      </c>
    </row>
    <row r="52" spans="2:8">
      <c r="B52" t="str" cm="1">
        <f t="array" ref="B52">IF(A52="", "",
    IF(COUNTIF('Risk Treatment Plan'!A:A, A52)=0, "ERROR: Risk ID Not Found",
        IF(AND(ISNUMBER(VALUE(MID(A52,2,3))), LEFT(A52,1)="R", LEN(A52)=4),
            INDEX(Formulas!E:E, MATCH(FALSE, ISNUMBER(MATCH(Formulas!E:E, 'ISMS Action Tracker'!B$1:B51, 0)), 0)),
            "ERROR: Invalid Risk ID"
        )
    )
)</f>
        <v/>
      </c>
    </row>
    <row r="53" spans="2:8">
      <c r="B53" t="str" cm="1">
        <f t="array" ref="B53">IF(A53="", "",
    IF(COUNTIF('Risk Treatment Plan'!A:A, A53)=0, "ERROR: Risk ID Not Found",
        IF(AND(ISNUMBER(VALUE(MID(A53,2,3))), LEFT(A53,1)="R", LEN(A53)=4),
            INDEX(Formulas!E:E, MATCH(FALSE, ISNUMBER(MATCH(Formulas!E:E, 'ISMS Action Tracker'!B$1:B52, 0)), 0)),
            "ERROR: Invalid Risk ID"
        )
    )
)</f>
        <v/>
      </c>
    </row>
    <row r="54" spans="2:8">
      <c r="B54" t="str" cm="1">
        <f t="array" ref="B54">IF(A54="", "",
    IF(COUNTIF('Risk Treatment Plan'!A:A, A54)=0, "ERROR: Risk ID Not Found",
        IF(AND(ISNUMBER(VALUE(MID(A54,2,3))), LEFT(A54,1)="R", LEN(A54)=4),
            INDEX(Formulas!E:E, MATCH(FALSE, ISNUMBER(MATCH(Formulas!E:E, 'ISMS Action Tracker'!B$1:B53, 0)), 0)),
            "ERROR: Invalid Risk ID"
        )
    )
)</f>
        <v/>
      </c>
    </row>
    <row r="55" spans="2:8">
      <c r="B55" t="str" cm="1">
        <f t="array" ref="B55">IF(A55="", "",
    IF(COUNTIF('Risk Treatment Plan'!A:A, A55)=0, "ERROR: Risk ID Not Found",
        IF(AND(ISNUMBER(VALUE(MID(A55,2,3))), LEFT(A55,1)="R", LEN(A55)=4),
            INDEX(Formulas!E:E, MATCH(FALSE, ISNUMBER(MATCH(Formulas!E:E, 'ISMS Action Tracker'!B$1:B54, 0)), 0)),
            "ERROR: Invalid Risk ID"
        )
    )
)</f>
        <v/>
      </c>
    </row>
    <row r="56" spans="2:8">
      <c r="B56" t="str" cm="1">
        <f t="array" ref="B56">IF(A56="", "",
    IF(COUNTIF('Risk Treatment Plan'!A:A, A56)=0, "ERROR: Risk ID Not Found",
        IF(AND(ISNUMBER(VALUE(MID(A56,2,3))), LEFT(A56,1)="R", LEN(A56)=4),
            INDEX(Formulas!E:E, MATCH(FALSE, ISNUMBER(MATCH(Formulas!E:E, 'ISMS Action Tracker'!B$1:B55, 0)), 0)),
            "ERROR: Invalid Risk ID"
        )
    )
)</f>
        <v/>
      </c>
    </row>
    <row r="57" spans="2:8">
      <c r="B57" t="str" cm="1">
        <f t="array" ref="B57">IF(A57="", "",
    IF(COUNTIF('Risk Treatment Plan'!A:A, A57)=0, "ERROR: Risk ID Not Found",
        IF(AND(ISNUMBER(VALUE(MID(A57,2,3))), LEFT(A57,1)="R", LEN(A57)=4),
            INDEX(Formulas!E:E, MATCH(FALSE, ISNUMBER(MATCH(Formulas!E:E, 'ISMS Action Tracker'!B$1:B56, 0)), 0)),
            "ERROR: Invalid Risk ID"
        )
    )
)</f>
        <v/>
      </c>
    </row>
    <row r="58" spans="2:8">
      <c r="B58" t="str" cm="1">
        <f t="array" ref="B58">IF(A58="", "",
    IF(COUNTIF('Risk Treatment Plan'!A:A, A58)=0, "ERROR: Risk ID Not Found",
        IF(AND(ISNUMBER(VALUE(MID(A58,2,3))), LEFT(A58,1)="R", LEN(A58)=4),
            INDEX(Formulas!E:E, MATCH(FALSE, ISNUMBER(MATCH(Formulas!E:E, 'ISMS Action Tracker'!B$1:B57, 0)), 0)),
            "ERROR: Invalid Risk ID"
        )
    )
)</f>
        <v/>
      </c>
    </row>
    <row r="59" spans="2:8">
      <c r="B59" t="str" cm="1">
        <f t="array" ref="B59">IF(A59="", "",
    IF(COUNTIF('Risk Treatment Plan'!A:A, A59)=0, "ERROR: Risk ID Not Found",
        IF(AND(ISNUMBER(VALUE(MID(A59,2,3))), LEFT(A59,1)="R", LEN(A59)=4),
            INDEX(Formulas!E:E, MATCH(FALSE, ISNUMBER(MATCH(Formulas!E:E, 'ISMS Action Tracker'!B$1:B58, 0)), 0)),
            "ERROR: Invalid Risk ID"
        )
    )
)</f>
        <v/>
      </c>
    </row>
    <row r="60" spans="2:8">
      <c r="B60" t="str" cm="1">
        <f t="array" ref="B60">IF(A60="", "",
    IF(COUNTIF('Risk Treatment Plan'!A:A, A60)=0, "ERROR: Risk ID Not Found",
        IF(AND(ISNUMBER(VALUE(MID(A60,2,3))), LEFT(A60,1)="R", LEN(A60)=4),
            INDEX(Formulas!E:E, MATCH(FALSE, ISNUMBER(MATCH(Formulas!E:E, 'ISMS Action Tracker'!B$1:B59, 0)), 0)),
            "ERROR: Invalid Risk ID"
        )
    )
)</f>
        <v/>
      </c>
    </row>
    <row r="61" spans="2:8">
      <c r="B61" t="str" cm="1">
        <f t="array" ref="B61">IF(A61="", "",
    IF(COUNTIF('Risk Treatment Plan'!A:A, A61)=0, "ERROR: Risk ID Not Found",
        IF(AND(ISNUMBER(VALUE(MID(A61,2,3))), LEFT(A61,1)="R", LEN(A61)=4),
            INDEX(Formulas!E:E, MATCH(FALSE, ISNUMBER(MATCH(Formulas!E:E, 'ISMS Action Tracker'!B$1:B60, 0)), 0)),
            "ERROR: Invalid Risk ID"
        )
    )
)</f>
        <v/>
      </c>
    </row>
    <row r="62" spans="2:8">
      <c r="B62" t="str" cm="1">
        <f t="array" ref="B62">IF(A62="", "",
    IF(COUNTIF('Risk Treatment Plan'!A:A, A62)=0, "ERROR: Risk ID Not Found",
        IF(AND(ISNUMBER(VALUE(MID(A62,2,3))), LEFT(A62,1)="R", LEN(A62)=4),
            INDEX(Formulas!E:E, MATCH(FALSE, ISNUMBER(MATCH(Formulas!E:E, 'ISMS Action Tracker'!B$1:B61, 0)), 0)),
            "ERROR: Invalid Risk ID"
        )
    )
)</f>
        <v/>
      </c>
    </row>
    <row r="63" spans="2:8">
      <c r="B63" t="str" cm="1">
        <f t="array" ref="B63">IF(A63="", "",
    IF(COUNTIF('Risk Treatment Plan'!A:A, A63)=0, "ERROR: Risk ID Not Found",
        IF(AND(ISNUMBER(VALUE(MID(A63,2,3))), LEFT(A63,1)="R", LEN(A63)=4),
            INDEX(Formulas!E:E, MATCH(FALSE, ISNUMBER(MATCH(Formulas!E:E, 'ISMS Action Tracker'!B$1:B62, 0)), 0)),
            "ERROR: Invalid Risk ID"
        )
    )
)</f>
        <v/>
      </c>
    </row>
    <row r="64" spans="2:8">
      <c r="B64" t="str" cm="1">
        <f t="array" ref="B64">IF(A64="", "",
    IF(COUNTIF('Risk Treatment Plan'!A:A, A64)=0, "ERROR: Risk ID Not Found",
        IF(AND(ISNUMBER(VALUE(MID(A64,2,3))), LEFT(A64,1)="R", LEN(A64)=4),
            INDEX(Formulas!E:E, MATCH(FALSE, ISNUMBER(MATCH(Formulas!E:E, 'ISMS Action Tracker'!B$1:B63, 0)), 0)),
            "ERROR: Invalid Risk ID"
        )
    )
)</f>
        <v/>
      </c>
    </row>
    <row r="65" spans="2:2">
      <c r="B65" t="str" cm="1">
        <f t="array" ref="B65">IF(A65="", "",
    IF(COUNTIF('Risk Treatment Plan'!A:A, A65)=0, "ERROR: Risk ID Not Found",
        IF(AND(ISNUMBER(VALUE(MID(A65,2,3))), LEFT(A65,1)="R", LEN(A65)=4),
            INDEX(Formulas!E:E, MATCH(FALSE, ISNUMBER(MATCH(Formulas!E:E, 'ISMS Action Tracker'!B$1:B64, 0)), 0)),
            "ERROR: Invalid Risk ID"
        )
    )
)</f>
        <v/>
      </c>
    </row>
    <row r="66" spans="2:2">
      <c r="B66" t="str" cm="1">
        <f t="array" ref="B66">IF(A66="", "",
    IF(COUNTIF('Risk Treatment Plan'!A:A, A66)=0, "ERROR: Risk ID Not Found",
        IF(AND(ISNUMBER(VALUE(MID(A66,2,3))), LEFT(A66,1)="R", LEN(A66)=4),
            INDEX(Formulas!E:E, MATCH(FALSE, ISNUMBER(MATCH(Formulas!E:E, 'ISMS Action Tracker'!B$1:B65, 0)), 0)),
            "ERROR: Invalid Risk ID"
        )
    )
)</f>
        <v/>
      </c>
    </row>
    <row r="67" spans="2:2">
      <c r="B67" t="str" cm="1">
        <f t="array" ref="B67">IF(A67="", "",
    IF(COUNTIF('Risk Treatment Plan'!A:A, A67)=0, "ERROR: Risk ID Not Found",
        IF(AND(ISNUMBER(VALUE(MID(A67,2,3))), LEFT(A67,1)="R", LEN(A67)=4),
            INDEX(Formulas!E:E, MATCH(FALSE, ISNUMBER(MATCH(Formulas!E:E, 'ISMS Action Tracker'!B$1:B66, 0)), 0)),
            "ERROR: Invalid Risk ID"
        )
    )
)</f>
        <v/>
      </c>
    </row>
    <row r="68" spans="2:2">
      <c r="B68" t="str" cm="1">
        <f t="array" ref="B68">IF(A68="", "",
    IF(COUNTIF('Risk Treatment Plan'!A:A, A68)=0, "ERROR: Risk ID Not Found",
        IF(AND(ISNUMBER(VALUE(MID(A68,2,3))), LEFT(A68,1)="R", LEN(A68)=4),
            INDEX(Formulas!E:E, MATCH(FALSE, ISNUMBER(MATCH(Formulas!E:E, 'ISMS Action Tracker'!B$1:B67, 0)), 0)),
            "ERROR: Invalid Risk ID"
        )
    )
)</f>
        <v/>
      </c>
    </row>
    <row r="69" spans="2:2">
      <c r="B69" t="str" cm="1">
        <f t="array" ref="B69">IF(A69="", "",
    IF(COUNTIF('Risk Treatment Plan'!A:A, A69)=0, "ERROR: Risk ID Not Found",
        IF(AND(ISNUMBER(VALUE(MID(A69,2,3))), LEFT(A69,1)="R", LEN(A69)=4),
            INDEX(Formulas!E:E, MATCH(FALSE, ISNUMBER(MATCH(Formulas!E:E, 'ISMS Action Tracker'!B$1:B68, 0)), 0)),
            "ERROR: Invalid Risk ID"
        )
    )
)</f>
        <v/>
      </c>
    </row>
    <row r="70" spans="2:2">
      <c r="B70" t="str" cm="1">
        <f t="array" ref="B70">IF(A70="", "",
    IF(COUNTIF('Risk Treatment Plan'!A:A, A70)=0, "ERROR: Risk ID Not Found",
        IF(AND(ISNUMBER(VALUE(MID(A70,2,3))), LEFT(A70,1)="R", LEN(A70)=4),
            INDEX(Formulas!E:E, MATCH(FALSE, ISNUMBER(MATCH(Formulas!E:E, 'ISMS Action Tracker'!B$1:B69, 0)), 0)),
            "ERROR: Invalid Risk ID"
        )
    )
)</f>
        <v/>
      </c>
    </row>
    <row r="71" spans="2:2">
      <c r="B71" t="str" cm="1">
        <f t="array" ref="B71">IF(A71="", "",
    IF(COUNTIF('Risk Treatment Plan'!A:A, A71)=0, "ERROR: Risk ID Not Found",
        IF(AND(ISNUMBER(VALUE(MID(A71,2,3))), LEFT(A71,1)="R", LEN(A71)=4),
            INDEX(Formulas!E:E, MATCH(FALSE, ISNUMBER(MATCH(Formulas!E:E, 'ISMS Action Tracker'!B$1:B70, 0)), 0)),
            "ERROR: Invalid Risk ID"
        )
    )
)</f>
        <v/>
      </c>
    </row>
    <row r="72" spans="2:2">
      <c r="B72" t="str" cm="1">
        <f t="array" ref="B72">IF(A72="", "",
    IF(COUNTIF('Risk Treatment Plan'!A:A, A72)=0, "ERROR: Risk ID Not Found",
        IF(AND(ISNUMBER(VALUE(MID(A72,2,3))), LEFT(A72,1)="R", LEN(A72)=4),
            INDEX(Formulas!E:E, MATCH(FALSE, ISNUMBER(MATCH(Formulas!E:E, 'ISMS Action Tracker'!B$1:B71, 0)), 0)),
            "ERROR: Invalid Risk ID"
        )
    )
)</f>
        <v/>
      </c>
    </row>
    <row r="73" spans="2:2">
      <c r="B73" t="str" cm="1">
        <f t="array" ref="B73">IF(A73="", "",
    IF(COUNTIF('Risk Treatment Plan'!A:A, A73)=0, "ERROR: Risk ID Not Found",
        IF(AND(ISNUMBER(VALUE(MID(A73,2,3))), LEFT(A73,1)="R", LEN(A73)=4),
            INDEX(Formulas!E:E, MATCH(FALSE, ISNUMBER(MATCH(Formulas!E:E, 'ISMS Action Tracker'!B$1:B72, 0)), 0)),
            "ERROR: Invalid Risk ID"
        )
    )
)</f>
        <v/>
      </c>
    </row>
    <row r="74" spans="2:2">
      <c r="B74" t="str" cm="1">
        <f t="array" ref="B74">IF(A74="", "",
    IF(COUNTIF('Risk Treatment Plan'!A:A, A74)=0, "ERROR: Risk ID Not Found",
        IF(AND(ISNUMBER(VALUE(MID(A74,2,3))), LEFT(A74,1)="R", LEN(A74)=4),
            INDEX(Formulas!E:E, MATCH(FALSE, ISNUMBER(MATCH(Formulas!E:E, 'ISMS Action Tracker'!B$1:B73, 0)), 0)),
            "ERROR: Invalid Risk ID"
        )
    )
)</f>
        <v/>
      </c>
    </row>
    <row r="75" spans="2:2">
      <c r="B75" t="str" cm="1">
        <f t="array" ref="B75">IF(A75="", "",
    IF(COUNTIF('Risk Treatment Plan'!A:A, A75)=0, "ERROR: Risk ID Not Found",
        IF(AND(ISNUMBER(VALUE(MID(A75,2,3))), LEFT(A75,1)="R", LEN(A75)=4),
            INDEX(Formulas!E:E, MATCH(FALSE, ISNUMBER(MATCH(Formulas!E:E, 'ISMS Action Tracker'!B$1:B74, 0)), 0)),
            "ERROR: Invalid Risk ID"
        )
    )
)</f>
        <v/>
      </c>
    </row>
    <row r="76" spans="2:2">
      <c r="B76" t="str" cm="1">
        <f t="array" ref="B76">IF(A76="", "",
    IF(COUNTIF('Risk Treatment Plan'!A:A, A76)=0, "ERROR: Risk ID Not Found",
        IF(AND(ISNUMBER(VALUE(MID(A76,2,3))), LEFT(A76,1)="R", LEN(A76)=4),
            INDEX(Formulas!E:E, MATCH(FALSE, ISNUMBER(MATCH(Formulas!E:E, 'ISMS Action Tracker'!B$1:B75, 0)), 0)),
            "ERROR: Invalid Risk ID"
        )
    )
)</f>
        <v/>
      </c>
    </row>
    <row r="77" spans="2:2">
      <c r="B77" t="str" cm="1">
        <f t="array" ref="B77">IF(A77="", "",
    IF(COUNTIF('Risk Treatment Plan'!A:A, A77)=0, "ERROR: Risk ID Not Found",
        IF(AND(ISNUMBER(VALUE(MID(A77,2,3))), LEFT(A77,1)="R", LEN(A77)=4),
            INDEX(Formulas!E:E, MATCH(FALSE, ISNUMBER(MATCH(Formulas!E:E, 'ISMS Action Tracker'!B$1:B76, 0)), 0)),
            "ERROR: Invalid Risk ID"
        )
    )
)</f>
        <v/>
      </c>
    </row>
    <row r="78" spans="2:2">
      <c r="B78" t="str" cm="1">
        <f t="array" ref="B78">IF(A78="", "",
    IF(COUNTIF('Risk Treatment Plan'!A:A, A78)=0, "ERROR: Risk ID Not Found",
        IF(AND(ISNUMBER(VALUE(MID(A78,2,3))), LEFT(A78,1)="R", LEN(A78)=4),
            INDEX(Formulas!E:E, MATCH(FALSE, ISNUMBER(MATCH(Formulas!E:E, 'ISMS Action Tracker'!B$1:B77, 0)), 0)),
            "ERROR: Invalid Risk ID"
        )
    )
)</f>
        <v/>
      </c>
    </row>
    <row r="79" spans="2:2">
      <c r="B79" t="str" cm="1">
        <f t="array" ref="B79">IF(A79="", "",
    IF(COUNTIF('Risk Treatment Plan'!A:A, A79)=0, "ERROR: Risk ID Not Found",
        IF(AND(ISNUMBER(VALUE(MID(A79,2,3))), LEFT(A79,1)="R", LEN(A79)=4),
            INDEX(Formulas!E:E, MATCH(FALSE, ISNUMBER(MATCH(Formulas!E:E, 'ISMS Action Tracker'!B$1:B78, 0)), 0)),
            "ERROR: Invalid Risk ID"
        )
    )
)</f>
        <v/>
      </c>
    </row>
    <row r="80" spans="2:2">
      <c r="B80" t="str" cm="1">
        <f t="array" ref="B80">IF(A80="", "",
    IF(COUNTIF('Risk Treatment Plan'!A:A, A80)=0, "ERROR: Risk ID Not Found",
        IF(AND(ISNUMBER(VALUE(MID(A80,2,3))), LEFT(A80,1)="R", LEN(A80)=4),
            INDEX(Formulas!E:E, MATCH(FALSE, ISNUMBER(MATCH(Formulas!E:E, 'ISMS Action Tracker'!B$1:B79, 0)), 0)),
            "ERROR: Invalid Risk ID"
        )
    )
)</f>
        <v/>
      </c>
    </row>
    <row r="81" spans="2:2">
      <c r="B81" t="str" cm="1">
        <f t="array" ref="B81">IF(A81="", "",
    IF(COUNTIF('Risk Treatment Plan'!A:A, A81)=0, "ERROR: Risk ID Not Found",
        IF(AND(ISNUMBER(VALUE(MID(A81,2,3))), LEFT(A81,1)="R", LEN(A81)=4),
            INDEX(Formulas!E:E, MATCH(FALSE, ISNUMBER(MATCH(Formulas!E:E, 'ISMS Action Tracker'!B$1:B80, 0)), 0)),
            "ERROR: Invalid Risk ID"
        )
    )
)</f>
        <v/>
      </c>
    </row>
    <row r="82" spans="2:2">
      <c r="B82" t="str" cm="1">
        <f t="array" ref="B82">IF(A82="", "",
    IF(COUNTIF('Risk Treatment Plan'!A:A, A82)=0, "ERROR: Risk ID Not Found",
        IF(AND(ISNUMBER(VALUE(MID(A82,2,3))), LEFT(A82,1)="R", LEN(A82)=4),
            INDEX(Formulas!E:E, MATCH(FALSE, ISNUMBER(MATCH(Formulas!E:E, 'ISMS Action Tracker'!B$1:B81, 0)), 0)),
            "ERROR: Invalid Risk ID"
        )
    )
)</f>
        <v/>
      </c>
    </row>
    <row r="83" spans="2:2">
      <c r="B83" t="str" cm="1">
        <f t="array" ref="B83">IF(A83="", "",
    IF(COUNTIF('Risk Treatment Plan'!A:A, A83)=0, "ERROR: Risk ID Not Found",
        IF(AND(ISNUMBER(VALUE(MID(A83,2,3))), LEFT(A83,1)="R", LEN(A83)=4),
            INDEX(Formulas!E:E, MATCH(FALSE, ISNUMBER(MATCH(Formulas!E:E, 'ISMS Action Tracker'!B$1:B82, 0)), 0)),
            "ERROR: Invalid Risk ID"
        )
    )
)</f>
        <v/>
      </c>
    </row>
    <row r="84" spans="2:2">
      <c r="B84" t="str" cm="1">
        <f t="array" ref="B84">IF(A84="", "",
    IF(COUNTIF('Risk Treatment Plan'!A:A, A84)=0, "ERROR: Risk ID Not Found",
        IF(AND(ISNUMBER(VALUE(MID(A84,2,3))), LEFT(A84,1)="R", LEN(A84)=4),
            INDEX(Formulas!E:E, MATCH(FALSE, ISNUMBER(MATCH(Formulas!E:E, 'ISMS Action Tracker'!B$1:B83, 0)), 0)),
            "ERROR: Invalid Risk ID"
        )
    )
)</f>
        <v/>
      </c>
    </row>
    <row r="85" spans="2:2">
      <c r="B85" t="str" cm="1">
        <f t="array" ref="B85">IF(A85="", "",
    IF(COUNTIF('Risk Treatment Plan'!A:A, A85)=0, "ERROR: Risk ID Not Found",
        IF(AND(ISNUMBER(VALUE(MID(A85,2,3))), LEFT(A85,1)="R", LEN(A85)=4),
            INDEX(Formulas!E:E, MATCH(FALSE, ISNUMBER(MATCH(Formulas!E:E, 'ISMS Action Tracker'!B$1:B84, 0)), 0)),
            "ERROR: Invalid Risk ID"
        )
    )
)</f>
        <v/>
      </c>
    </row>
    <row r="86" spans="2:2">
      <c r="B86" t="str" cm="1">
        <f t="array" ref="B86">IF(A86="", "",
    IF(COUNTIF('Risk Treatment Plan'!A:A, A86)=0, "ERROR: Risk ID Not Found",
        IF(AND(ISNUMBER(VALUE(MID(A86,2,3))), LEFT(A86,1)="R", LEN(A86)=4),
            INDEX(Formulas!E:E, MATCH(FALSE, ISNUMBER(MATCH(Formulas!E:E, 'ISMS Action Tracker'!B$1:B85, 0)), 0)),
            "ERROR: Invalid Risk ID"
        )
    )
)</f>
        <v/>
      </c>
    </row>
    <row r="87" spans="2:2">
      <c r="B87" t="str" cm="1">
        <f t="array" ref="B87">IF(A87="", "",
    IF(COUNTIF('Risk Treatment Plan'!A:A, A87)=0, "ERROR: Risk ID Not Found",
        IF(AND(ISNUMBER(VALUE(MID(A87,2,3))), LEFT(A87,1)="R", LEN(A87)=4),
            INDEX(Formulas!E:E, MATCH(FALSE, ISNUMBER(MATCH(Formulas!E:E, 'ISMS Action Tracker'!B$1:B86, 0)), 0)),
            "ERROR: Invalid Risk ID"
        )
    )
)</f>
        <v/>
      </c>
    </row>
    <row r="88" spans="2:2">
      <c r="B88" t="str" cm="1">
        <f t="array" ref="B88">IF(A88="", "",
    IF(COUNTIF('Risk Treatment Plan'!A:A, A88)=0, "ERROR: Risk ID Not Found",
        IF(AND(ISNUMBER(VALUE(MID(A88,2,3))), LEFT(A88,1)="R", LEN(A88)=4),
            INDEX(Formulas!E:E, MATCH(FALSE, ISNUMBER(MATCH(Formulas!E:E, 'ISMS Action Tracker'!B$1:B87, 0)), 0)),
            "ERROR: Invalid Risk ID"
        )
    )
)</f>
        <v/>
      </c>
    </row>
    <row r="89" spans="2:2">
      <c r="B89" t="str" cm="1">
        <f t="array" ref="B89">IF(A89="", "",
    IF(COUNTIF('Risk Treatment Plan'!A:A, A89)=0, "ERROR: Risk ID Not Found",
        IF(AND(ISNUMBER(VALUE(MID(A89,2,3))), LEFT(A89,1)="R", LEN(A89)=4),
            INDEX(Formulas!E:E, MATCH(FALSE, ISNUMBER(MATCH(Formulas!E:E, 'ISMS Action Tracker'!B$1:B88, 0)), 0)),
            "ERROR: Invalid Risk ID"
        )
    )
)</f>
        <v/>
      </c>
    </row>
    <row r="90" spans="2:2">
      <c r="B90" t="str" cm="1">
        <f t="array" ref="B90">IF(A90="", "",
    IF(COUNTIF('Risk Treatment Plan'!A:A, A90)=0, "ERROR: Risk ID Not Found",
        IF(AND(ISNUMBER(VALUE(MID(A90,2,3))), LEFT(A90,1)="R", LEN(A90)=4),
            INDEX(Formulas!E:E, MATCH(FALSE, ISNUMBER(MATCH(Formulas!E:E, 'ISMS Action Tracker'!B$1:B89, 0)), 0)),
            "ERROR: Invalid Risk ID"
        )
    )
)</f>
        <v/>
      </c>
    </row>
    <row r="91" spans="2:2">
      <c r="B91" t="str" cm="1">
        <f t="array" ref="B91">IF(A91="", "",
    IF(COUNTIF('Risk Treatment Plan'!A:A, A91)=0, "ERROR: Risk ID Not Found",
        IF(AND(ISNUMBER(VALUE(MID(A91,2,3))), LEFT(A91,1)="R", LEN(A91)=4),
            INDEX(Formulas!E:E, MATCH(FALSE, ISNUMBER(MATCH(Formulas!E:E, 'ISMS Action Tracker'!B$1:B90, 0)), 0)),
            "ERROR: Invalid Risk ID"
        )
    )
)</f>
        <v/>
      </c>
    </row>
    <row r="92" spans="2:2">
      <c r="B92" t="str" cm="1">
        <f t="array" ref="B92">IF(A92="", "",
    IF(COUNTIF('Risk Treatment Plan'!A:A, A92)=0, "ERROR: Risk ID Not Found",
        IF(AND(ISNUMBER(VALUE(MID(A92,2,3))), LEFT(A92,1)="R", LEN(A92)=4),
            INDEX(Formulas!E:E, MATCH(FALSE, ISNUMBER(MATCH(Formulas!E:E, 'ISMS Action Tracker'!B$1:B91, 0)), 0)),
            "ERROR: Invalid Risk ID"
        )
    )
)</f>
        <v/>
      </c>
    </row>
    <row r="93" spans="2:2">
      <c r="B93" t="str" cm="1">
        <f t="array" ref="B93">IF(A93="", "",
    IF(COUNTIF('Risk Treatment Plan'!A:A, A93)=0, "ERROR: Risk ID Not Found",
        IF(AND(ISNUMBER(VALUE(MID(A93,2,3))), LEFT(A93,1)="R", LEN(A93)=4),
            INDEX(Formulas!E:E, MATCH(FALSE, ISNUMBER(MATCH(Formulas!E:E, 'ISMS Action Tracker'!B$1:B92, 0)), 0)),
            "ERROR: Invalid Risk ID"
        )
    )
)</f>
        <v/>
      </c>
    </row>
    <row r="94" spans="2:2">
      <c r="B94" t="str" cm="1">
        <f t="array" ref="B94">IF(A94="", "",
    IF(COUNTIF('Risk Treatment Plan'!A:A, A94)=0, "ERROR: Risk ID Not Found",
        IF(AND(ISNUMBER(VALUE(MID(A94,2,3))), LEFT(A94,1)="R", LEN(A94)=4),
            INDEX(Formulas!E:E, MATCH(FALSE, ISNUMBER(MATCH(Formulas!E:E, 'ISMS Action Tracker'!B$1:B93, 0)), 0)),
            "ERROR: Invalid Risk ID"
        )
    )
)</f>
        <v/>
      </c>
    </row>
    <row r="95" spans="2:2">
      <c r="B95" t="str" cm="1">
        <f t="array" ref="B95">IF(A95="", "",
    IF(COUNTIF('Risk Treatment Plan'!A:A, A95)=0, "ERROR: Risk ID Not Found",
        IF(AND(ISNUMBER(VALUE(MID(A95,2,3))), LEFT(A95,1)="R", LEN(A95)=4),
            INDEX(Formulas!E:E, MATCH(FALSE, ISNUMBER(MATCH(Formulas!E:E, 'ISMS Action Tracker'!B$1:B94, 0)), 0)),
            "ERROR: Invalid Risk ID"
        )
    )
)</f>
        <v/>
      </c>
    </row>
    <row r="96" spans="2:2">
      <c r="B96" t="str" cm="1">
        <f t="array" ref="B96">IF(A96="", "",
    IF(COUNTIF('Risk Treatment Plan'!A:A, A96)=0, "ERROR: Risk ID Not Found",
        IF(AND(ISNUMBER(VALUE(MID(A96,2,3))), LEFT(A96,1)="R", LEN(A96)=4),
            INDEX(Formulas!E:E, MATCH(FALSE, ISNUMBER(MATCH(Formulas!E:E, 'ISMS Action Tracker'!B$1:B95, 0)), 0)),
            "ERROR: Invalid Risk ID"
        )
    )
)</f>
        <v/>
      </c>
    </row>
    <row r="97" spans="2:2">
      <c r="B97" t="str" cm="1">
        <f t="array" ref="B97">IF(A97="", "",
    IF(COUNTIF('Risk Treatment Plan'!A:A, A97)=0, "ERROR: Risk ID Not Found",
        IF(AND(ISNUMBER(VALUE(MID(A97,2,3))), LEFT(A97,1)="R", LEN(A97)=4),
            INDEX(Formulas!E:E, MATCH(FALSE, ISNUMBER(MATCH(Formulas!E:E, 'ISMS Action Tracker'!B$1:B96, 0)), 0)),
            "ERROR: Invalid Risk ID"
        )
    )
)</f>
        <v/>
      </c>
    </row>
    <row r="98" spans="2:2">
      <c r="B98" t="str" cm="1">
        <f t="array" ref="B98">IF(A98="", "",
    IF(COUNTIF('Risk Treatment Plan'!A:A, A98)=0, "ERROR: Risk ID Not Found",
        IF(AND(ISNUMBER(VALUE(MID(A98,2,3))), LEFT(A98,1)="R", LEN(A98)=4),
            INDEX(Formulas!E:E, MATCH(FALSE, ISNUMBER(MATCH(Formulas!E:E, 'ISMS Action Tracker'!B$1:B97, 0)), 0)),
            "ERROR: Invalid Risk ID"
        )
    )
)</f>
        <v/>
      </c>
    </row>
    <row r="99" spans="2:2">
      <c r="B99" t="str" cm="1">
        <f t="array" ref="B99">IF(A99="", "",
    IF(COUNTIF('Risk Treatment Plan'!A:A, A99)=0, "ERROR: Risk ID Not Found",
        IF(AND(ISNUMBER(VALUE(MID(A99,2,3))), LEFT(A99,1)="R", LEN(A99)=4),
            INDEX(Formulas!E:E, MATCH(FALSE, ISNUMBER(MATCH(Formulas!E:E, 'ISMS Action Tracker'!B$1:B98, 0)), 0)),
            "ERROR: Invalid Risk ID"
        )
    )
)</f>
        <v/>
      </c>
    </row>
  </sheetData>
  <phoneticPr fontId="5" type="noConversion"/>
  <conditionalFormatting sqref="H2:H50">
    <cfRule type="expression" dxfId="5" priority="1">
      <formula>AND(H2-TODAY()&lt;=7, H2-TODAY()&gt;=0)</formula>
    </cfRule>
  </conditionalFormatting>
  <pageMargins left="0.75" right="0.75" top="1" bottom="1" header="0.5" footer="0.5"/>
  <pageSetup paperSize="9"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7EB341C-11F7-8445-BB50-86C05F080805}">
          <x14:formula1>
            <xm:f>'Instructions and Definitions'!$G$22:$G$33</xm:f>
          </x14:formula1>
          <xm:sqref>F2:F30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C3C6B-9952-F64B-B2D2-A7C9974CCCEE}">
  <sheetPr codeName="Sheet13"/>
  <dimension ref="A1:R12"/>
  <sheetViews>
    <sheetView workbookViewId="0">
      <selection activeCell="P12" sqref="P12"/>
    </sheetView>
  </sheetViews>
  <sheetFormatPr defaultColWidth="11.42578125" defaultRowHeight="15"/>
  <cols>
    <col min="1" max="1" width="8.7109375" customWidth="1"/>
    <col min="2" max="2" width="28.42578125" bestFit="1" customWidth="1"/>
    <col min="3" max="3" width="13.7109375" bestFit="1" customWidth="1"/>
    <col min="4" max="4" width="16.42578125" customWidth="1"/>
    <col min="5" max="5" width="19.28515625" bestFit="1" customWidth="1"/>
    <col min="6" max="6" width="11.140625" customWidth="1"/>
    <col min="7" max="7" width="12.42578125" bestFit="1" customWidth="1"/>
    <col min="8" max="8" width="7.7109375" bestFit="1" customWidth="1"/>
    <col min="9" max="9" width="9.7109375" bestFit="1" customWidth="1"/>
    <col min="10" max="10" width="8.7109375" bestFit="1" customWidth="1"/>
    <col min="11" max="11" width="36.28515625" bestFit="1" customWidth="1"/>
    <col min="12" max="12" width="31.42578125" bestFit="1" customWidth="1"/>
    <col min="13" max="13" width="16.85546875" bestFit="1" customWidth="1"/>
    <col min="14" max="14" width="19.7109375" bestFit="1" customWidth="1"/>
    <col min="15" max="16" width="6.85546875" bestFit="1" customWidth="1"/>
    <col min="17" max="17" width="43.42578125" bestFit="1" customWidth="1"/>
    <col min="18" max="18" width="12.7109375" bestFit="1" customWidth="1"/>
  </cols>
  <sheetData>
    <row r="1" spans="1:18" s="1" customFormat="1">
      <c r="A1" s="1" t="s">
        <v>356</v>
      </c>
      <c r="B1" s="1" t="s">
        <v>357</v>
      </c>
      <c r="C1" s="1" t="s">
        <v>566</v>
      </c>
      <c r="D1" s="1" t="s">
        <v>1298</v>
      </c>
      <c r="E1" s="1" t="s">
        <v>1299</v>
      </c>
      <c r="F1" s="1" t="s">
        <v>361</v>
      </c>
      <c r="G1" s="1" t="s">
        <v>362</v>
      </c>
      <c r="H1" s="1" t="s">
        <v>363</v>
      </c>
      <c r="I1" s="1" t="s">
        <v>364</v>
      </c>
      <c r="J1" s="1" t="s">
        <v>1300</v>
      </c>
      <c r="K1" s="1" t="s">
        <v>1301</v>
      </c>
      <c r="L1" s="1" t="s">
        <v>1302</v>
      </c>
      <c r="M1" s="1" t="s">
        <v>1303</v>
      </c>
      <c r="N1" s="1" t="s">
        <v>1304</v>
      </c>
      <c r="O1" s="1" t="s">
        <v>1305</v>
      </c>
      <c r="P1" s="1" t="s">
        <v>1306</v>
      </c>
      <c r="Q1" s="1" t="s">
        <v>1307</v>
      </c>
      <c r="R1" s="1" t="s">
        <v>1308</v>
      </c>
    </row>
    <row r="2" spans="1:18">
      <c r="A2" t="s">
        <v>370</v>
      </c>
      <c r="B2" t="s">
        <v>371</v>
      </c>
      <c r="C2" t="s">
        <v>373</v>
      </c>
      <c r="D2" t="s">
        <v>372</v>
      </c>
      <c r="E2" t="s">
        <v>374</v>
      </c>
      <c r="F2" t="s">
        <v>375</v>
      </c>
      <c r="G2" t="s">
        <v>375</v>
      </c>
      <c r="H2" t="s">
        <v>375</v>
      </c>
      <c r="I2" t="s">
        <v>376</v>
      </c>
      <c r="J2" t="s">
        <v>375</v>
      </c>
      <c r="K2" t="s">
        <v>1309</v>
      </c>
      <c r="L2" t="s">
        <v>1310</v>
      </c>
      <c r="M2" t="s">
        <v>1311</v>
      </c>
      <c r="N2" t="s">
        <v>1312</v>
      </c>
      <c r="O2" t="s">
        <v>1313</v>
      </c>
      <c r="P2" t="s">
        <v>1314</v>
      </c>
      <c r="Q2" t="s">
        <v>377</v>
      </c>
      <c r="R2">
        <v>1</v>
      </c>
    </row>
    <row r="3" spans="1:18">
      <c r="A3" t="s">
        <v>382</v>
      </c>
      <c r="B3" t="s">
        <v>383</v>
      </c>
      <c r="C3" t="s">
        <v>385</v>
      </c>
      <c r="D3" t="s">
        <v>384</v>
      </c>
      <c r="E3" t="s">
        <v>386</v>
      </c>
      <c r="F3" t="s">
        <v>387</v>
      </c>
      <c r="G3" t="s">
        <v>387</v>
      </c>
      <c r="H3" t="s">
        <v>387</v>
      </c>
      <c r="I3" t="s">
        <v>376</v>
      </c>
      <c r="J3" t="s">
        <v>387</v>
      </c>
      <c r="K3" t="s">
        <v>1315</v>
      </c>
      <c r="L3" t="s">
        <v>1316</v>
      </c>
      <c r="M3" t="s">
        <v>387</v>
      </c>
      <c r="N3" t="s">
        <v>387</v>
      </c>
      <c r="O3" t="s">
        <v>1317</v>
      </c>
      <c r="P3" t="s">
        <v>1313</v>
      </c>
      <c r="Q3" t="s">
        <v>1318</v>
      </c>
      <c r="R3">
        <v>9</v>
      </c>
    </row>
    <row r="4" spans="1:18">
      <c r="A4" t="s">
        <v>391</v>
      </c>
      <c r="B4" t="s">
        <v>392</v>
      </c>
      <c r="C4" t="s">
        <v>393</v>
      </c>
      <c r="D4" t="s">
        <v>372</v>
      </c>
      <c r="E4" t="s">
        <v>1319</v>
      </c>
      <c r="F4" t="s">
        <v>375</v>
      </c>
      <c r="G4" t="s">
        <v>375</v>
      </c>
      <c r="H4" t="s">
        <v>375</v>
      </c>
      <c r="I4" t="s">
        <v>376</v>
      </c>
      <c r="J4" t="s">
        <v>375</v>
      </c>
      <c r="K4" t="s">
        <v>1320</v>
      </c>
      <c r="L4" t="s">
        <v>1321</v>
      </c>
      <c r="M4" t="s">
        <v>1322</v>
      </c>
      <c r="N4" t="s">
        <v>376</v>
      </c>
      <c r="O4" t="s">
        <v>1323</v>
      </c>
      <c r="P4" t="s">
        <v>1314</v>
      </c>
      <c r="Q4" t="s">
        <v>1324</v>
      </c>
      <c r="R4">
        <v>2</v>
      </c>
    </row>
    <row r="5" spans="1:18">
      <c r="A5" t="s">
        <v>398</v>
      </c>
      <c r="B5" t="s">
        <v>1325</v>
      </c>
      <c r="C5" t="s">
        <v>400</v>
      </c>
      <c r="D5" t="s">
        <v>384</v>
      </c>
      <c r="E5" t="s">
        <v>401</v>
      </c>
      <c r="F5" t="s">
        <v>387</v>
      </c>
      <c r="G5" t="s">
        <v>376</v>
      </c>
      <c r="H5" t="s">
        <v>387</v>
      </c>
      <c r="I5" t="s">
        <v>376</v>
      </c>
      <c r="J5" t="s">
        <v>376</v>
      </c>
      <c r="K5" t="s">
        <v>1326</v>
      </c>
      <c r="L5" t="s">
        <v>1327</v>
      </c>
      <c r="M5" t="s">
        <v>387</v>
      </c>
      <c r="N5" t="s">
        <v>376</v>
      </c>
      <c r="O5" t="s">
        <v>1317</v>
      </c>
      <c r="P5" t="s">
        <v>1313</v>
      </c>
      <c r="Q5" t="s">
        <v>1328</v>
      </c>
      <c r="R5">
        <v>6</v>
      </c>
    </row>
    <row r="6" spans="1:18">
      <c r="A6" t="s">
        <v>406</v>
      </c>
      <c r="B6" t="s">
        <v>407</v>
      </c>
      <c r="C6" t="s">
        <v>385</v>
      </c>
      <c r="D6" t="s">
        <v>372</v>
      </c>
      <c r="E6" t="s">
        <v>1319</v>
      </c>
      <c r="F6" t="s">
        <v>375</v>
      </c>
      <c r="G6" t="s">
        <v>375</v>
      </c>
      <c r="H6" t="s">
        <v>375</v>
      </c>
      <c r="I6" t="s">
        <v>387</v>
      </c>
      <c r="J6" t="s">
        <v>375</v>
      </c>
      <c r="K6" t="s">
        <v>1329</v>
      </c>
      <c r="L6" t="s">
        <v>1330</v>
      </c>
      <c r="M6" t="s">
        <v>375</v>
      </c>
      <c r="N6" t="s">
        <v>387</v>
      </c>
      <c r="O6" t="s">
        <v>1323</v>
      </c>
      <c r="P6" t="s">
        <v>1314</v>
      </c>
      <c r="Q6" t="s">
        <v>408</v>
      </c>
      <c r="R6">
        <v>3</v>
      </c>
    </row>
    <row r="7" spans="1:18">
      <c r="A7" t="s">
        <v>409</v>
      </c>
      <c r="B7" t="s">
        <v>1331</v>
      </c>
      <c r="C7" t="s">
        <v>393</v>
      </c>
      <c r="D7" t="s">
        <v>411</v>
      </c>
      <c r="E7" t="s">
        <v>1319</v>
      </c>
      <c r="F7" t="s">
        <v>387</v>
      </c>
      <c r="G7" t="s">
        <v>376</v>
      </c>
      <c r="H7" t="s">
        <v>387</v>
      </c>
      <c r="I7" t="s">
        <v>387</v>
      </c>
      <c r="J7" t="s">
        <v>387</v>
      </c>
      <c r="K7" t="s">
        <v>387</v>
      </c>
      <c r="L7" t="s">
        <v>387</v>
      </c>
      <c r="M7" t="s">
        <v>387</v>
      </c>
      <c r="N7" t="s">
        <v>387</v>
      </c>
      <c r="O7" t="s">
        <v>1332</v>
      </c>
      <c r="P7" t="s">
        <v>1317</v>
      </c>
      <c r="Q7" t="s">
        <v>1333</v>
      </c>
      <c r="R7">
        <v>10</v>
      </c>
    </row>
    <row r="8" spans="1:18">
      <c r="A8" t="s">
        <v>418</v>
      </c>
      <c r="B8" t="s">
        <v>1334</v>
      </c>
      <c r="C8" t="s">
        <v>393</v>
      </c>
      <c r="D8" t="s">
        <v>411</v>
      </c>
      <c r="E8" t="s">
        <v>1319</v>
      </c>
      <c r="F8" t="s">
        <v>387</v>
      </c>
      <c r="G8" t="s">
        <v>376</v>
      </c>
      <c r="H8" t="s">
        <v>387</v>
      </c>
      <c r="I8" t="s">
        <v>387</v>
      </c>
      <c r="J8" t="s">
        <v>387</v>
      </c>
      <c r="K8" t="s">
        <v>387</v>
      </c>
      <c r="L8" t="s">
        <v>387</v>
      </c>
      <c r="M8" t="s">
        <v>387</v>
      </c>
      <c r="N8" t="s">
        <v>387</v>
      </c>
      <c r="O8" t="s">
        <v>1332</v>
      </c>
      <c r="P8" t="s">
        <v>1317</v>
      </c>
      <c r="Q8" t="s">
        <v>1335</v>
      </c>
      <c r="R8">
        <v>11</v>
      </c>
    </row>
    <row r="9" spans="1:18">
      <c r="A9" t="s">
        <v>424</v>
      </c>
      <c r="B9" t="s">
        <v>425</v>
      </c>
      <c r="C9" t="s">
        <v>400</v>
      </c>
      <c r="D9" t="s">
        <v>384</v>
      </c>
      <c r="E9" t="s">
        <v>1336</v>
      </c>
      <c r="F9" t="s">
        <v>376</v>
      </c>
      <c r="G9" t="s">
        <v>387</v>
      </c>
      <c r="H9" t="s">
        <v>376</v>
      </c>
      <c r="I9" t="s">
        <v>387</v>
      </c>
      <c r="J9" t="s">
        <v>376</v>
      </c>
      <c r="K9" t="s">
        <v>1337</v>
      </c>
      <c r="L9" t="s">
        <v>1338</v>
      </c>
      <c r="M9" t="s">
        <v>387</v>
      </c>
      <c r="N9" t="s">
        <v>387</v>
      </c>
      <c r="O9" t="s">
        <v>1313</v>
      </c>
      <c r="P9" t="s">
        <v>1314</v>
      </c>
      <c r="Q9" t="s">
        <v>1339</v>
      </c>
      <c r="R9">
        <v>7</v>
      </c>
    </row>
    <row r="10" spans="1:18">
      <c r="A10" t="s">
        <v>432</v>
      </c>
      <c r="B10" t="s">
        <v>433</v>
      </c>
      <c r="C10" t="s">
        <v>435</v>
      </c>
      <c r="D10" t="s">
        <v>434</v>
      </c>
      <c r="E10" t="s">
        <v>401</v>
      </c>
      <c r="F10" t="s">
        <v>376</v>
      </c>
      <c r="G10" t="s">
        <v>375</v>
      </c>
      <c r="H10" t="s">
        <v>376</v>
      </c>
      <c r="I10" t="s">
        <v>376</v>
      </c>
      <c r="J10" t="s">
        <v>375</v>
      </c>
      <c r="K10" t="s">
        <v>1340</v>
      </c>
      <c r="L10" t="s">
        <v>1341</v>
      </c>
      <c r="M10" t="s">
        <v>376</v>
      </c>
      <c r="N10" t="s">
        <v>376</v>
      </c>
      <c r="O10" t="s">
        <v>1317</v>
      </c>
      <c r="P10" t="s">
        <v>1313</v>
      </c>
      <c r="Q10" t="s">
        <v>1342</v>
      </c>
      <c r="R10">
        <v>4</v>
      </c>
    </row>
    <row r="11" spans="1:18">
      <c r="A11" t="s">
        <v>439</v>
      </c>
      <c r="B11" t="s">
        <v>440</v>
      </c>
      <c r="C11" t="s">
        <v>435</v>
      </c>
      <c r="D11" t="s">
        <v>434</v>
      </c>
      <c r="E11" t="s">
        <v>401</v>
      </c>
      <c r="F11" t="s">
        <v>376</v>
      </c>
      <c r="G11" t="s">
        <v>375</v>
      </c>
      <c r="H11" t="s">
        <v>376</v>
      </c>
      <c r="I11" t="s">
        <v>376</v>
      </c>
      <c r="J11" t="s">
        <v>375</v>
      </c>
      <c r="K11" t="s">
        <v>1343</v>
      </c>
      <c r="L11" t="s">
        <v>1344</v>
      </c>
      <c r="M11" t="s">
        <v>376</v>
      </c>
      <c r="N11" t="s">
        <v>376</v>
      </c>
      <c r="O11" t="s">
        <v>1317</v>
      </c>
      <c r="P11" t="s">
        <v>1313</v>
      </c>
      <c r="Q11" t="s">
        <v>1345</v>
      </c>
      <c r="R11">
        <v>5</v>
      </c>
    </row>
    <row r="12" spans="1:18">
      <c r="A12" t="s">
        <v>444</v>
      </c>
      <c r="B12" t="s">
        <v>1346</v>
      </c>
      <c r="C12" t="s">
        <v>400</v>
      </c>
      <c r="D12" t="s">
        <v>384</v>
      </c>
      <c r="E12" t="s">
        <v>401</v>
      </c>
      <c r="F12" t="s">
        <v>387</v>
      </c>
      <c r="G12" t="s">
        <v>376</v>
      </c>
      <c r="H12" t="s">
        <v>387</v>
      </c>
      <c r="I12" t="s">
        <v>376</v>
      </c>
      <c r="J12" t="s">
        <v>376</v>
      </c>
      <c r="K12" t="s">
        <v>1347</v>
      </c>
      <c r="L12" t="s">
        <v>1348</v>
      </c>
      <c r="M12" t="s">
        <v>387</v>
      </c>
      <c r="N12" t="s">
        <v>376</v>
      </c>
      <c r="O12" t="s">
        <v>1332</v>
      </c>
      <c r="P12" t="s">
        <v>1317</v>
      </c>
      <c r="Q12" t="s">
        <v>1349</v>
      </c>
      <c r="R12">
        <v>8</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V39"/>
  <sheetViews>
    <sheetView workbookViewId="0">
      <selection activeCell="C9" sqref="C9"/>
    </sheetView>
  </sheetViews>
  <sheetFormatPr defaultColWidth="8.85546875" defaultRowHeight="15"/>
  <cols>
    <col min="1" max="2" width="14.5703125" customWidth="1"/>
    <col min="3" max="4" width="12.42578125" customWidth="1"/>
    <col min="5" max="9" width="24.42578125" customWidth="1"/>
    <col min="10" max="12" width="16" customWidth="1"/>
    <col min="13" max="13" width="29.5703125" customWidth="1"/>
    <col min="14" max="14" width="23.140625" customWidth="1"/>
    <col min="15" max="15" width="21.42578125" customWidth="1"/>
    <col min="16" max="17" width="23.140625" customWidth="1"/>
    <col min="18" max="18" width="17.5703125" customWidth="1"/>
    <col min="19" max="19" width="10.85546875" customWidth="1"/>
    <col min="20" max="20" width="48" customWidth="1"/>
    <col min="21" max="21" width="19" customWidth="1"/>
    <col min="22" max="22" width="33.140625" customWidth="1"/>
  </cols>
  <sheetData>
    <row r="1" spans="1:22">
      <c r="A1" s="1" t="s">
        <v>1350</v>
      </c>
    </row>
    <row r="2" spans="1:22" s="1" customFormat="1" ht="45.75">
      <c r="A2" s="1" t="s">
        <v>1351</v>
      </c>
      <c r="B2" s="1" t="s">
        <v>1352</v>
      </c>
      <c r="C2" s="1" t="s">
        <v>356</v>
      </c>
      <c r="D2" s="1" t="s">
        <v>1353</v>
      </c>
      <c r="E2" s="1" t="s">
        <v>357</v>
      </c>
      <c r="F2" s="30" t="s">
        <v>1354</v>
      </c>
      <c r="G2" s="30" t="s">
        <v>1355</v>
      </c>
      <c r="H2" s="30" t="s">
        <v>1356</v>
      </c>
      <c r="I2" s="30" t="s">
        <v>1357</v>
      </c>
      <c r="J2" s="1" t="s">
        <v>183</v>
      </c>
      <c r="K2" s="30" t="s">
        <v>1358</v>
      </c>
      <c r="L2" s="30" t="s">
        <v>1359</v>
      </c>
      <c r="M2" s="30" t="s">
        <v>826</v>
      </c>
      <c r="N2" s="30" t="s">
        <v>1360</v>
      </c>
      <c r="O2" s="30" t="s">
        <v>1361</v>
      </c>
      <c r="P2" s="30" t="s">
        <v>1362</v>
      </c>
      <c r="Q2" s="30" t="s">
        <v>1363</v>
      </c>
      <c r="R2" s="30" t="s">
        <v>1364</v>
      </c>
      <c r="S2" s="30" t="s">
        <v>1270</v>
      </c>
      <c r="T2" s="30" t="s">
        <v>1365</v>
      </c>
      <c r="U2" s="30" t="s">
        <v>1366</v>
      </c>
      <c r="V2" s="30" t="s">
        <v>1367</v>
      </c>
    </row>
    <row r="3" spans="1:22">
      <c r="A3" t="str">
        <f>IF(C3="", "", IF(COUNTIF('Asset Register'!$A:$A, C3) &gt; 0, "INC" &amp; TEXT(ROW()-1, "000"), "ERROR: Invalid Asset ID"))</f>
        <v>INC002</v>
      </c>
      <c r="C3" t="s">
        <v>370</v>
      </c>
      <c r="E3" t="str">
        <f>IF(C3="", "", IF(COUNTIF('Asset Register'!$A:$A, C3) &gt; 0, VLOOKUP(C3, 'Asset Register'!$A:$B, 2, FALSE), "ERROR: Invalid Asset ID"))</f>
        <v>Client Data Contacts</v>
      </c>
      <c r="J3" s="139">
        <v>45397</v>
      </c>
      <c r="K3" s="139"/>
      <c r="L3" s="139"/>
      <c r="M3" t="s">
        <v>1368</v>
      </c>
      <c r="S3" t="s">
        <v>400</v>
      </c>
      <c r="T3" t="s">
        <v>1369</v>
      </c>
      <c r="U3" s="139">
        <v>45627</v>
      </c>
      <c r="V3" t="s">
        <v>1370</v>
      </c>
    </row>
    <row r="4" spans="1:22">
      <c r="A4" t="str">
        <f>IF(C4="", "", IF(COUNTIF('Asset Register'!$A:$A, C4) &gt; 0, "INC" &amp; TEXT(ROW()-1, "000"), "ERROR: Invalid Asset ID"))</f>
        <v>INC003</v>
      </c>
      <c r="C4" t="s">
        <v>409</v>
      </c>
      <c r="E4" t="str">
        <f>IF(C4="", "", IF(COUNTIF('Asset Register'!$A:$A, C4) &gt; 0, VLOOKUP(C4, 'Asset Register'!$A:$B, 2, FALSE), "ERROR: Invalid Asset ID"))</f>
        <v>Internal Documents</v>
      </c>
      <c r="J4" s="139">
        <v>45581</v>
      </c>
      <c r="K4" s="139"/>
      <c r="L4" s="139"/>
      <c r="M4" t="s">
        <v>1371</v>
      </c>
      <c r="S4" t="s">
        <v>400</v>
      </c>
      <c r="T4" t="s">
        <v>1372</v>
      </c>
      <c r="U4" s="139">
        <v>45758</v>
      </c>
    </row>
    <row r="5" spans="1:22">
      <c r="A5" t="str">
        <f>IF(C5="", "", IF(COUNTIF('Asset Register'!$A:$A, C5) &gt; 0, "INC" &amp; TEXT(ROW()-1, "000"), "ERROR: Invalid Asset ID"))</f>
        <v/>
      </c>
      <c r="E5" t="str">
        <f>IF(C5="", "", IF(COUNTIF('Asset Register'!$A:$A, C5) &gt; 0, VLOOKUP(C5, 'Asset Register'!$A:$B, 2, FALSE), "ERROR: Invalid Asset ID"))</f>
        <v/>
      </c>
      <c r="U5" s="139"/>
    </row>
    <row r="6" spans="1:22">
      <c r="A6" t="str">
        <f>IF(C6="", "", IF(COUNTIF('Asset Register'!$A:$A, C6) &gt; 0, "INC" &amp; TEXT(ROW()-1, "000"), "ERROR: Invalid Asset ID"))</f>
        <v/>
      </c>
      <c r="E6" t="str">
        <f>IF(C6="", "", IF(COUNTIF('Asset Register'!$A:$A, C6) &gt; 0, VLOOKUP(C6, 'Asset Register'!$A:$B, 2, FALSE), "ERROR: Invalid Asset ID"))</f>
        <v/>
      </c>
      <c r="J6" s="17"/>
      <c r="K6" s="17"/>
      <c r="L6" s="17"/>
      <c r="U6" s="139"/>
    </row>
    <row r="7" spans="1:22">
      <c r="A7" t="str">
        <f>IF(C7="", "", IF(COUNTIF('Asset Register'!$A:$A, C7) &gt; 0, "INC" &amp; TEXT(ROW()-1, "000"), "ERROR: Invalid Asset ID"))</f>
        <v/>
      </c>
      <c r="E7" t="str">
        <f>IF(C7="", "", IF(COUNTIF('Asset Register'!$A:$A, C7) &gt; 0, VLOOKUP(C7, 'Asset Register'!$A:$B, 2, FALSE), "ERROR: Invalid Asset ID"))</f>
        <v/>
      </c>
      <c r="U7" s="139"/>
    </row>
    <row r="8" spans="1:22">
      <c r="A8" t="str">
        <f>IF(C8="", "", IF(COUNTIF('Asset Register'!$A:$A, C8) &gt; 0, "INC" &amp; TEXT(ROW()-1, "000"), "ERROR: Invalid Asset ID"))</f>
        <v/>
      </c>
      <c r="E8" t="str">
        <f>IF(C8="", "", IF(COUNTIF('Asset Register'!$A:$A, C8) &gt; 0, VLOOKUP(C8, 'Asset Register'!$A:$B, 2, FALSE), "ERROR: Invalid Asset ID"))</f>
        <v/>
      </c>
      <c r="U8" s="139"/>
    </row>
    <row r="9" spans="1:22">
      <c r="A9" t="str">
        <f>IF(C9="", "", IF(COUNTIF('Asset Register'!$A:$A, C9) &gt; 0, "INC" &amp; TEXT(ROW()-1, "000"), "ERROR: Invalid Asset ID"))</f>
        <v/>
      </c>
      <c r="E9" t="str">
        <f>IF(C9="", "", IF(COUNTIF('Asset Register'!$A:$A, C9) &gt; 0, VLOOKUP(C9, 'Asset Register'!$A:$B, 2, FALSE), "ERROR: Invalid Asset ID"))</f>
        <v/>
      </c>
      <c r="U9" s="139"/>
    </row>
    <row r="10" spans="1:22">
      <c r="A10" t="str">
        <f>IF(C10="", "", IF(COUNTIF('Asset Register'!$A:$A, C10) &gt; 0, "INC" &amp; TEXT(ROW()-1, "000"), "ERROR: Invalid Asset ID"))</f>
        <v/>
      </c>
      <c r="E10" t="str">
        <f>IF(C10="", "", IF(COUNTIF('Asset Register'!$A:$A, C10) &gt; 0, VLOOKUP(C10, 'Asset Register'!$A:$B, 2, FALSE), "ERROR: Invalid Asset ID"))</f>
        <v/>
      </c>
      <c r="U10" s="139"/>
    </row>
    <row r="11" spans="1:22">
      <c r="A11" t="str">
        <f>IF(C11="", "", IF(COUNTIF('Asset Register'!$A:$A, C11) &gt; 0, "INC" &amp; TEXT(ROW()-1, "000"), "ERROR: Invalid Asset ID"))</f>
        <v/>
      </c>
      <c r="E11" t="str">
        <f>IF(C11="", "", IF(COUNTIF('Asset Register'!$A:$A, C11) &gt; 0, VLOOKUP(C11, 'Asset Register'!$A:$B, 2, FALSE), "ERROR: Invalid Asset ID"))</f>
        <v/>
      </c>
      <c r="U11" s="139"/>
    </row>
    <row r="12" spans="1:22">
      <c r="A12" t="str">
        <f>IF(C12="", "", IF(COUNTIF('Asset Register'!$A:$A, C12) &gt; 0, "INC" &amp; TEXT(ROW()-1, "000"), "ERROR: Invalid Asset ID"))</f>
        <v/>
      </c>
      <c r="E12" t="str">
        <f>IF(C12="", "", IF(COUNTIF('Asset Register'!$A:$A, C12) &gt; 0, VLOOKUP(C12, 'Asset Register'!$A:$B, 2, FALSE), "ERROR: Invalid Asset ID"))</f>
        <v/>
      </c>
      <c r="U12" s="139"/>
    </row>
    <row r="13" spans="1:22">
      <c r="A13" t="str">
        <f>IF(C13="", "", IF(COUNTIF('Asset Register'!$A:$A, C13) &gt; 0, "INC" &amp; TEXT(ROW()-1, "000"), "ERROR: Invalid Asset ID"))</f>
        <v/>
      </c>
      <c r="E13" t="str">
        <f>IF(C13="", "", IF(COUNTIF('Asset Register'!$A:$A, C13) &gt; 0, VLOOKUP(C13, 'Asset Register'!$A:$B, 2, FALSE), "ERROR: Invalid Asset ID"))</f>
        <v/>
      </c>
      <c r="U13" s="139"/>
    </row>
    <row r="14" spans="1:22">
      <c r="A14" t="str">
        <f>IF(C14="", "", IF(COUNTIF('Asset Register'!$A:$A, C14) &gt; 0, "INC" &amp; TEXT(ROW()-1, "000"), "ERROR: Invalid Asset ID"))</f>
        <v/>
      </c>
      <c r="E14" t="str">
        <f>IF(C14="", "", IF(COUNTIF('Asset Register'!$A:$A, C14) &gt; 0, VLOOKUP(C14, 'Asset Register'!$A:$B, 2, FALSE), "ERROR: Invalid Asset ID"))</f>
        <v/>
      </c>
      <c r="U14" s="139"/>
    </row>
    <row r="15" spans="1:22">
      <c r="A15" t="str">
        <f>IF(C15="", "", IF(COUNTIF('Asset Register'!$A:$A, C15) &gt; 0, "INC" &amp; TEXT(ROW()-1, "000"), "ERROR: Invalid Asset ID"))</f>
        <v/>
      </c>
      <c r="E15" t="str">
        <f>IF(C15="", "", IF(COUNTIF('Asset Register'!$A:$A, C15) &gt; 0, VLOOKUP(C15, 'Asset Register'!$A:$B, 2, FALSE), "ERROR: Invalid Asset ID"))</f>
        <v/>
      </c>
      <c r="U15" s="139"/>
    </row>
    <row r="16" spans="1:22">
      <c r="A16" t="str">
        <f>IF(C16="", "", IF(COUNTIF('Asset Register'!$A:$A, C16) &gt; 0, "INC" &amp; TEXT(ROW()-1, "000"), "ERROR: Invalid Asset ID"))</f>
        <v/>
      </c>
      <c r="E16" t="str">
        <f>IF(C16="", "", IF(COUNTIF('Asset Register'!$A:$A, C16) &gt; 0, VLOOKUP(C16, 'Asset Register'!$A:$B, 2, FALSE), "ERROR: Invalid Asset ID"))</f>
        <v/>
      </c>
      <c r="U16" s="139"/>
    </row>
    <row r="17" spans="1:21">
      <c r="A17" t="str">
        <f>IF(C17="", "", IF(COUNTIF('Asset Register'!$A:$A, C17) &gt; 0, "INC" &amp; TEXT(ROW()-1, "000"), "ERROR: Invalid Asset ID"))</f>
        <v/>
      </c>
      <c r="E17" t="str">
        <f>IF(C17="", "", IF(COUNTIF('Asset Register'!$A:$A, C17) &gt; 0, VLOOKUP(C17, 'Asset Register'!$A:$B, 2, FALSE), "ERROR: Invalid Asset ID"))</f>
        <v/>
      </c>
      <c r="U17" s="139"/>
    </row>
    <row r="18" spans="1:21">
      <c r="A18" t="str">
        <f>IF(C18="", "", IF(COUNTIF('Asset Register'!$A:$A, C18) &gt; 0, "INC" &amp; TEXT(ROW()-1, "000"), "ERROR: Invalid Asset ID"))</f>
        <v/>
      </c>
      <c r="E18" t="str">
        <f>IF(C18="", "", IF(COUNTIF('Asset Register'!$A:$A, C18) &gt; 0, VLOOKUP(C18, 'Asset Register'!$A:$B, 2, FALSE), "ERROR: Invalid Asset ID"))</f>
        <v/>
      </c>
      <c r="U18" s="139"/>
    </row>
    <row r="19" spans="1:21">
      <c r="A19" t="str">
        <f>IF(C19="", "", IF(COUNTIF('Asset Register'!$A:$A, C19) &gt; 0, "INC" &amp; TEXT(ROW()-1, "000"), "ERROR: Invalid Asset ID"))</f>
        <v/>
      </c>
      <c r="E19" t="str">
        <f>IF(C19="", "", IF(COUNTIF('Asset Register'!$A:$A, C19) &gt; 0, VLOOKUP(C19, 'Asset Register'!$A:$B, 2, FALSE), "ERROR: Invalid Asset ID"))</f>
        <v/>
      </c>
      <c r="U19" s="139"/>
    </row>
    <row r="20" spans="1:21">
      <c r="A20" t="str">
        <f>IF(C20="", "", IF(COUNTIF('Asset Register'!$A:$A, C20) &gt; 0, "INC" &amp; TEXT(ROW()-1, "000"), "ERROR: Invalid Asset ID"))</f>
        <v/>
      </c>
      <c r="E20" t="str">
        <f>IF(C20="", "", IF(COUNTIF('Asset Register'!$A:$A, C20) &gt; 0, VLOOKUP(C20, 'Asset Register'!$A:$B, 2, FALSE), "ERROR: Invalid Asset ID"))</f>
        <v/>
      </c>
      <c r="U20" s="139"/>
    </row>
    <row r="21" spans="1:21">
      <c r="A21" t="s">
        <v>1373</v>
      </c>
      <c r="U21" s="139"/>
    </row>
    <row r="22" spans="1:21">
      <c r="U22" s="139"/>
    </row>
    <row r="23" spans="1:21">
      <c r="U23" s="139"/>
    </row>
    <row r="24" spans="1:21">
      <c r="U24" s="139"/>
    </row>
    <row r="25" spans="1:21">
      <c r="U25" s="139"/>
    </row>
    <row r="26" spans="1:21">
      <c r="U26" s="139"/>
    </row>
    <row r="27" spans="1:21">
      <c r="U27" s="139"/>
    </row>
    <row r="28" spans="1:21">
      <c r="U28" s="139"/>
    </row>
    <row r="29" spans="1:21">
      <c r="U29" s="139"/>
    </row>
    <row r="30" spans="1:21">
      <c r="U30" s="139"/>
    </row>
    <row r="31" spans="1:21">
      <c r="U31" s="139"/>
    </row>
    <row r="32" spans="1:21">
      <c r="U32" s="139"/>
    </row>
    <row r="33" spans="21:21">
      <c r="U33" s="139"/>
    </row>
    <row r="34" spans="21:21">
      <c r="U34" s="139"/>
    </row>
    <row r="35" spans="21:21">
      <c r="U35" s="139"/>
    </row>
    <row r="36" spans="21:21">
      <c r="U36" s="139"/>
    </row>
    <row r="37" spans="21:21">
      <c r="U37" s="139"/>
    </row>
    <row r="38" spans="21:21">
      <c r="U38" s="139"/>
    </row>
    <row r="39" spans="21:21">
      <c r="U39" s="139"/>
    </row>
  </sheetData>
  <pageMargins left="0.75" right="0.75" top="1" bottom="1" header="0.5" footer="0.5"/>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2D050"/>
  </sheetPr>
  <dimension ref="A1:K101"/>
  <sheetViews>
    <sheetView workbookViewId="0">
      <selection activeCell="A3" sqref="A3:K3"/>
    </sheetView>
  </sheetViews>
  <sheetFormatPr defaultColWidth="8.85546875" defaultRowHeight="15"/>
  <cols>
    <col min="2" max="2" width="11" customWidth="1"/>
    <col min="3" max="3" width="33" customWidth="1"/>
    <col min="4" max="4" width="18.7109375" customWidth="1"/>
    <col min="5" max="5" width="8.85546875" bestFit="1" customWidth="1"/>
    <col min="6" max="6" width="29" customWidth="1"/>
    <col min="7" max="7" width="18.85546875" customWidth="1"/>
    <col min="8" max="8" width="19.28515625" customWidth="1"/>
    <col min="9" max="9" width="34.140625" customWidth="1"/>
    <col min="10" max="10" width="16.140625" customWidth="1"/>
    <col min="11" max="11" width="15" customWidth="1"/>
  </cols>
  <sheetData>
    <row r="1" spans="1:11" s="1" customFormat="1">
      <c r="A1" s="1" t="s">
        <v>1374</v>
      </c>
      <c r="B1" s="1" t="s">
        <v>183</v>
      </c>
      <c r="C1" s="1" t="s">
        <v>1375</v>
      </c>
      <c r="D1" s="1" t="s">
        <v>1376</v>
      </c>
      <c r="E1" s="1" t="s">
        <v>1377</v>
      </c>
      <c r="F1" s="1" t="s">
        <v>1378</v>
      </c>
      <c r="G1" s="1" t="s">
        <v>1379</v>
      </c>
      <c r="H1" s="1" t="s">
        <v>1380</v>
      </c>
      <c r="I1" s="1" t="s">
        <v>1381</v>
      </c>
      <c r="J1" s="1" t="s">
        <v>821</v>
      </c>
      <c r="K1" s="1" t="s">
        <v>1382</v>
      </c>
    </row>
    <row r="2" spans="1:11" ht="45.75">
      <c r="A2" s="217" t="s">
        <v>216</v>
      </c>
      <c r="B2" s="219">
        <v>45769</v>
      </c>
      <c r="C2" s="218" t="s">
        <v>1383</v>
      </c>
      <c r="D2" s="218" t="s">
        <v>340</v>
      </c>
      <c r="E2" s="218" t="s">
        <v>1384</v>
      </c>
      <c r="F2" s="220" t="s">
        <v>1385</v>
      </c>
      <c r="G2" s="220" t="s">
        <v>376</v>
      </c>
      <c r="H2" s="218" t="s">
        <v>1386</v>
      </c>
      <c r="I2" s="220" t="s">
        <v>1387</v>
      </c>
      <c r="J2" s="218" t="s">
        <v>218</v>
      </c>
      <c r="K2" s="236" t="s">
        <v>1225</v>
      </c>
    </row>
    <row r="3" spans="1:11" ht="45.75">
      <c r="A3" s="321" t="s">
        <v>216</v>
      </c>
      <c r="B3" s="213">
        <v>45769</v>
      </c>
      <c r="C3" s="113" t="s">
        <v>1383</v>
      </c>
      <c r="D3" s="113" t="s">
        <v>340</v>
      </c>
      <c r="E3" s="113" t="s">
        <v>1388</v>
      </c>
      <c r="F3" s="212" t="s">
        <v>1389</v>
      </c>
      <c r="G3" s="212" t="s">
        <v>387</v>
      </c>
      <c r="H3" s="113" t="s">
        <v>1390</v>
      </c>
      <c r="I3" s="212" t="s">
        <v>1391</v>
      </c>
      <c r="J3" s="113" t="s">
        <v>1266</v>
      </c>
      <c r="K3" s="322">
        <v>45814</v>
      </c>
    </row>
    <row r="4" spans="1:11" ht="60.75">
      <c r="A4" s="224" t="s">
        <v>216</v>
      </c>
      <c r="B4" s="242">
        <v>45769</v>
      </c>
      <c r="C4" s="225" t="s">
        <v>1383</v>
      </c>
      <c r="D4" s="225" t="s">
        <v>340</v>
      </c>
      <c r="E4" s="225" t="s">
        <v>1392</v>
      </c>
      <c r="F4" s="226" t="s">
        <v>1393</v>
      </c>
      <c r="G4" s="226" t="s">
        <v>387</v>
      </c>
      <c r="H4" s="225" t="s">
        <v>1394</v>
      </c>
      <c r="I4" s="226" t="s">
        <v>1395</v>
      </c>
      <c r="J4" s="226" t="s">
        <v>1396</v>
      </c>
      <c r="K4" s="241" t="s">
        <v>1225</v>
      </c>
    </row>
    <row r="5" spans="1:11">
      <c r="F5" s="28"/>
      <c r="G5" s="28"/>
      <c r="I5" s="28"/>
    </row>
    <row r="6" spans="1:11">
      <c r="F6" s="28"/>
      <c r="G6" s="28"/>
      <c r="I6" s="28"/>
    </row>
    <row r="7" spans="1:11">
      <c r="F7" s="28"/>
      <c r="G7" s="28"/>
      <c r="I7" s="28"/>
    </row>
    <row r="8" spans="1:11">
      <c r="F8" s="28"/>
      <c r="G8" s="28"/>
      <c r="I8" s="28"/>
    </row>
    <row r="9" spans="1:11">
      <c r="F9" s="28"/>
      <c r="G9" s="28"/>
      <c r="I9" s="28"/>
    </row>
    <row r="10" spans="1:11">
      <c r="F10" s="28"/>
      <c r="G10" s="28"/>
      <c r="I10" s="28"/>
    </row>
    <row r="11" spans="1:11">
      <c r="F11" s="28"/>
      <c r="G11" s="28"/>
      <c r="I11" s="28"/>
    </row>
    <row r="12" spans="1:11">
      <c r="F12" s="28"/>
      <c r="G12" s="28"/>
      <c r="I12" s="28"/>
    </row>
    <row r="13" spans="1:11">
      <c r="F13" s="28"/>
      <c r="G13" s="28"/>
      <c r="I13" s="28"/>
    </row>
    <row r="14" spans="1:11">
      <c r="F14" s="28"/>
      <c r="G14" s="28"/>
      <c r="I14" s="28"/>
    </row>
    <row r="15" spans="1:11">
      <c r="F15" s="28"/>
      <c r="G15" s="28"/>
      <c r="I15" s="28"/>
    </row>
    <row r="16" spans="1:11">
      <c r="F16" s="28"/>
      <c r="G16" s="28"/>
      <c r="I16" s="28"/>
    </row>
    <row r="17" spans="6:9">
      <c r="F17" s="28"/>
      <c r="G17" s="28"/>
      <c r="I17" s="28"/>
    </row>
    <row r="18" spans="6:9">
      <c r="F18" s="28"/>
      <c r="G18" s="28"/>
    </row>
    <row r="19" spans="6:9">
      <c r="F19" s="28"/>
      <c r="G19" s="28"/>
    </row>
    <row r="20" spans="6:9">
      <c r="F20" s="28"/>
      <c r="G20" s="28"/>
    </row>
    <row r="21" spans="6:9">
      <c r="F21" s="28"/>
      <c r="G21" s="28"/>
    </row>
    <row r="22" spans="6:9">
      <c r="F22" s="28"/>
      <c r="G22" s="28"/>
    </row>
    <row r="23" spans="6:9">
      <c r="F23" s="28"/>
      <c r="G23" s="28"/>
    </row>
    <row r="24" spans="6:9">
      <c r="F24" s="28"/>
      <c r="G24" s="28"/>
    </row>
    <row r="25" spans="6:9">
      <c r="F25" s="28"/>
      <c r="G25" s="28"/>
    </row>
    <row r="26" spans="6:9">
      <c r="F26" s="28"/>
      <c r="G26" s="28"/>
    </row>
    <row r="27" spans="6:9">
      <c r="F27" s="28"/>
      <c r="G27" s="28"/>
    </row>
    <row r="28" spans="6:9">
      <c r="F28" s="28"/>
      <c r="G28" s="28"/>
    </row>
    <row r="29" spans="6:9">
      <c r="F29" s="28"/>
      <c r="G29" s="28"/>
    </row>
    <row r="30" spans="6:9">
      <c r="F30" s="28"/>
      <c r="G30" s="28"/>
    </row>
    <row r="31" spans="6:9">
      <c r="F31" s="28"/>
      <c r="G31" s="28"/>
    </row>
    <row r="32" spans="6:9">
      <c r="F32" s="28"/>
      <c r="G32" s="28"/>
    </row>
    <row r="98" spans="7:7">
      <c r="G98" s="1" t="s">
        <v>1379</v>
      </c>
    </row>
    <row r="99" spans="7:7">
      <c r="G99" t="s">
        <v>375</v>
      </c>
    </row>
    <row r="100" spans="7:7">
      <c r="G100" t="s">
        <v>376</v>
      </c>
    </row>
    <row r="101" spans="7:7">
      <c r="G101" t="s">
        <v>387</v>
      </c>
    </row>
  </sheetData>
  <phoneticPr fontId="5" type="noConversion"/>
  <dataValidations count="1">
    <dataValidation type="list" allowBlank="1" showInputMessage="1" showErrorMessage="1" sqref="G2:G97" xr:uid="{323700F5-0362-7249-8E91-F2C78228CA6E}">
      <formula1>$G$99:$G$101</formula1>
    </dataValidation>
  </dataValidations>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D4938-F28C-4F95-A501-0BB8FBE10CF3}">
  <dimension ref="A1:M5"/>
  <sheetViews>
    <sheetView topLeftCell="A3" workbookViewId="0">
      <selection activeCell="H10" sqref="H10"/>
    </sheetView>
  </sheetViews>
  <sheetFormatPr defaultRowHeight="15"/>
  <cols>
    <col min="1" max="1" width="12.85546875" customWidth="1"/>
    <col min="2" max="2" width="9.85546875" bestFit="1" customWidth="1"/>
    <col min="3" max="3" width="18.140625" customWidth="1"/>
    <col min="4" max="4" width="11.85546875" customWidth="1"/>
    <col min="5" max="5" width="41.7109375" customWidth="1"/>
    <col min="6" max="6" width="15.140625" customWidth="1"/>
    <col min="7" max="7" width="18.28515625" customWidth="1"/>
    <col min="8" max="8" width="47" customWidth="1"/>
    <col min="9" max="9" width="28.5703125" customWidth="1"/>
    <col min="10" max="10" width="13.140625" customWidth="1"/>
    <col min="11" max="11" width="17" customWidth="1"/>
  </cols>
  <sheetData>
    <row r="1" spans="1:13">
      <c r="A1" s="1" t="s">
        <v>1397</v>
      </c>
      <c r="B1" s="1" t="s">
        <v>183</v>
      </c>
      <c r="C1" s="1" t="s">
        <v>1376</v>
      </c>
      <c r="D1" s="1" t="s">
        <v>1377</v>
      </c>
      <c r="E1" s="1" t="s">
        <v>1378</v>
      </c>
      <c r="F1" s="1" t="s">
        <v>1379</v>
      </c>
      <c r="G1" s="1" t="s">
        <v>1380</v>
      </c>
      <c r="H1" s="1" t="s">
        <v>1381</v>
      </c>
      <c r="I1" s="1" t="s">
        <v>317</v>
      </c>
      <c r="J1" s="1" t="s">
        <v>821</v>
      </c>
      <c r="K1" s="1" t="s">
        <v>1382</v>
      </c>
      <c r="L1" s="1"/>
      <c r="M1" s="1"/>
    </row>
    <row r="2" spans="1:13" ht="113.25" customHeight="1">
      <c r="A2" s="217" t="s">
        <v>237</v>
      </c>
      <c r="B2" s="237">
        <v>45777</v>
      </c>
      <c r="C2" s="220" t="s">
        <v>1398</v>
      </c>
      <c r="D2" s="218" t="s">
        <v>1384</v>
      </c>
      <c r="E2" s="220" t="s">
        <v>1399</v>
      </c>
      <c r="F2" s="220"/>
      <c r="G2" s="218" t="s">
        <v>1386</v>
      </c>
      <c r="H2" s="220"/>
      <c r="I2" s="220" t="s">
        <v>1400</v>
      </c>
      <c r="J2" s="218" t="s">
        <v>218</v>
      </c>
      <c r="K2" s="245">
        <v>45900</v>
      </c>
    </row>
    <row r="3" spans="1:13" ht="90" customHeight="1">
      <c r="A3" s="222" t="s">
        <v>237</v>
      </c>
      <c r="B3" s="103">
        <v>45777</v>
      </c>
      <c r="C3" s="28" t="s">
        <v>1398</v>
      </c>
      <c r="D3" t="s">
        <v>1388</v>
      </c>
      <c r="E3" s="243" t="s">
        <v>1401</v>
      </c>
      <c r="F3" s="28"/>
      <c r="G3" t="s">
        <v>1390</v>
      </c>
      <c r="I3" s="28" t="s">
        <v>226</v>
      </c>
      <c r="J3" t="s">
        <v>218</v>
      </c>
      <c r="K3" s="275">
        <v>45742</v>
      </c>
    </row>
    <row r="4" spans="1:13" ht="140.25" customHeight="1">
      <c r="A4" s="222" t="s">
        <v>237</v>
      </c>
      <c r="B4" s="103">
        <v>45777</v>
      </c>
      <c r="C4" s="28" t="s">
        <v>1398</v>
      </c>
      <c r="D4" t="s">
        <v>1392</v>
      </c>
      <c r="E4" s="243" t="s">
        <v>1402</v>
      </c>
      <c r="F4" s="28"/>
      <c r="G4" t="s">
        <v>1394</v>
      </c>
      <c r="H4" s="28" t="s">
        <v>1403</v>
      </c>
      <c r="I4" s="28" t="s">
        <v>240</v>
      </c>
      <c r="J4" t="s">
        <v>218</v>
      </c>
      <c r="K4" s="276">
        <v>45956</v>
      </c>
    </row>
    <row r="5" spans="1:13" ht="105" customHeight="1">
      <c r="A5" s="323" t="s">
        <v>237</v>
      </c>
      <c r="B5" s="324">
        <v>45777</v>
      </c>
      <c r="C5" s="325" t="s">
        <v>1398</v>
      </c>
      <c r="D5" s="326" t="s">
        <v>1404</v>
      </c>
      <c r="E5" s="325" t="s">
        <v>1405</v>
      </c>
      <c r="F5" s="325" t="s">
        <v>387</v>
      </c>
      <c r="G5" s="326" t="s">
        <v>1406</v>
      </c>
      <c r="H5" s="325" t="s">
        <v>1407</v>
      </c>
      <c r="I5" s="325"/>
      <c r="J5" s="326"/>
      <c r="K5" s="327">
        <v>46112</v>
      </c>
    </row>
  </sheetData>
  <dataValidations count="1">
    <dataValidation type="list" allowBlank="1" showInputMessage="1" showErrorMessage="1" sqref="F2:F5" xr:uid="{E3613AF5-17F8-443C-A41B-86ABB42E6B39}">
      <formula1>$J$100:$J$102</formula1>
    </dataValidation>
  </dataValidation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sheetPr>
  <dimension ref="A1:J32"/>
  <sheetViews>
    <sheetView workbookViewId="0">
      <selection activeCell="D20" sqref="D20"/>
    </sheetView>
  </sheetViews>
  <sheetFormatPr defaultColWidth="26.7109375" defaultRowHeight="15"/>
  <cols>
    <col min="2" max="2" width="32.140625" bestFit="1" customWidth="1"/>
    <col min="3" max="3" width="33" customWidth="1"/>
    <col min="4" max="4" width="21.7109375" customWidth="1"/>
    <col min="5" max="5" width="22.42578125" customWidth="1"/>
    <col min="6" max="6" width="20" customWidth="1"/>
    <col min="7" max="7" width="18.7109375" customWidth="1"/>
    <col min="8" max="8" width="22.140625" customWidth="1"/>
    <col min="10" max="10" width="42.140625" customWidth="1"/>
  </cols>
  <sheetData>
    <row r="1" spans="1:10" s="1" customFormat="1">
      <c r="A1" s="1" t="s">
        <v>1408</v>
      </c>
      <c r="B1" s="1" t="s">
        <v>1409</v>
      </c>
      <c r="C1" s="1" t="s">
        <v>1410</v>
      </c>
      <c r="D1" s="1" t="s">
        <v>1411</v>
      </c>
      <c r="E1" s="1" t="s">
        <v>1412</v>
      </c>
      <c r="F1" s="1" t="s">
        <v>1413</v>
      </c>
      <c r="G1" s="1" t="s">
        <v>1414</v>
      </c>
      <c r="H1" s="1" t="s">
        <v>1415</v>
      </c>
      <c r="I1" s="1" t="s">
        <v>1416</v>
      </c>
      <c r="J1" s="1" t="s">
        <v>365</v>
      </c>
    </row>
    <row r="2" spans="1:10">
      <c r="A2" t="s">
        <v>1417</v>
      </c>
      <c r="B2" t="s">
        <v>1418</v>
      </c>
      <c r="C2" s="141">
        <v>45749</v>
      </c>
      <c r="D2" t="s">
        <v>171</v>
      </c>
      <c r="E2" t="s">
        <v>747</v>
      </c>
      <c r="F2" t="s">
        <v>218</v>
      </c>
      <c r="G2" t="s">
        <v>151</v>
      </c>
      <c r="H2" s="141">
        <v>46114</v>
      </c>
      <c r="I2" s="66" t="s">
        <v>1419</v>
      </c>
    </row>
    <row r="3" spans="1:10">
      <c r="A3" t="s">
        <v>1420</v>
      </c>
      <c r="B3" t="s">
        <v>1418</v>
      </c>
      <c r="C3" s="140">
        <v>45755</v>
      </c>
      <c r="D3" t="s">
        <v>169</v>
      </c>
      <c r="E3" t="s">
        <v>743</v>
      </c>
      <c r="F3" t="s">
        <v>218</v>
      </c>
      <c r="G3" t="s">
        <v>151</v>
      </c>
      <c r="H3" s="140">
        <v>46120</v>
      </c>
      <c r="I3" s="66" t="s">
        <v>1419</v>
      </c>
    </row>
    <row r="4" spans="1:10">
      <c r="A4" t="s">
        <v>1421</v>
      </c>
      <c r="B4" t="s">
        <v>1418</v>
      </c>
      <c r="C4" s="140">
        <v>45758</v>
      </c>
      <c r="D4" t="s">
        <v>171</v>
      </c>
      <c r="E4" t="s">
        <v>174</v>
      </c>
      <c r="F4" t="s">
        <v>218</v>
      </c>
      <c r="G4" t="s">
        <v>151</v>
      </c>
      <c r="H4" s="140">
        <v>46123</v>
      </c>
      <c r="I4" s="66" t="s">
        <v>1422</v>
      </c>
    </row>
    <row r="5" spans="1:10">
      <c r="A5" t="s">
        <v>1423</v>
      </c>
      <c r="B5" t="s">
        <v>1418</v>
      </c>
      <c r="C5" s="140">
        <v>45755</v>
      </c>
      <c r="D5" t="s">
        <v>171</v>
      </c>
      <c r="E5" t="s">
        <v>169</v>
      </c>
      <c r="F5" t="s">
        <v>218</v>
      </c>
      <c r="G5" t="s">
        <v>151</v>
      </c>
      <c r="H5" s="140">
        <v>46120</v>
      </c>
      <c r="I5" s="66" t="s">
        <v>1419</v>
      </c>
    </row>
    <row r="6" spans="1:10">
      <c r="A6" t="s">
        <v>1424</v>
      </c>
      <c r="B6" t="s">
        <v>1418</v>
      </c>
      <c r="C6" s="140">
        <v>45757</v>
      </c>
      <c r="D6" t="s">
        <v>169</v>
      </c>
      <c r="E6" t="s">
        <v>736</v>
      </c>
      <c r="F6" t="s">
        <v>218</v>
      </c>
      <c r="G6" t="s">
        <v>151</v>
      </c>
      <c r="H6" s="140">
        <v>46122</v>
      </c>
      <c r="I6" s="66" t="s">
        <v>1419</v>
      </c>
    </row>
    <row r="7" spans="1:10">
      <c r="A7" t="s">
        <v>1425</v>
      </c>
      <c r="B7" t="s">
        <v>1418</v>
      </c>
      <c r="C7" s="140">
        <v>45754</v>
      </c>
      <c r="D7" t="s">
        <v>736</v>
      </c>
      <c r="E7" t="s">
        <v>171</v>
      </c>
      <c r="F7" t="s">
        <v>218</v>
      </c>
      <c r="G7" t="s">
        <v>151</v>
      </c>
      <c r="H7" s="140">
        <v>46119</v>
      </c>
      <c r="I7" s="66" t="s">
        <v>1419</v>
      </c>
    </row>
    <row r="8" spans="1:10" ht="21" customHeight="1">
      <c r="A8" t="s">
        <v>1426</v>
      </c>
      <c r="B8" t="s">
        <v>1427</v>
      </c>
      <c r="C8" s="140">
        <v>45762</v>
      </c>
      <c r="D8" t="s">
        <v>171</v>
      </c>
      <c r="E8" t="s">
        <v>751</v>
      </c>
      <c r="F8" t="s">
        <v>218</v>
      </c>
      <c r="G8" t="s">
        <v>151</v>
      </c>
      <c r="H8" s="140">
        <v>46126</v>
      </c>
      <c r="I8" s="66" t="s">
        <v>1419</v>
      </c>
      <c r="J8" s="28"/>
    </row>
    <row r="9" spans="1:10">
      <c r="H9" s="140"/>
    </row>
    <row r="10" spans="1:10">
      <c r="H10" s="140"/>
    </row>
    <row r="11" spans="1:10">
      <c r="H11" s="140"/>
    </row>
    <row r="12" spans="1:10">
      <c r="H12" s="140"/>
    </row>
    <row r="13" spans="1:10">
      <c r="H13" s="140"/>
    </row>
    <row r="14" spans="1:10">
      <c r="H14" s="140"/>
    </row>
    <row r="15" spans="1:10">
      <c r="H15" s="140"/>
    </row>
    <row r="16" spans="1:10">
      <c r="H16" s="140"/>
    </row>
    <row r="17" spans="1:8">
      <c r="H17" s="140"/>
    </row>
    <row r="18" spans="1:8">
      <c r="H18" s="140"/>
    </row>
    <row r="19" spans="1:8">
      <c r="H19" s="140"/>
    </row>
    <row r="20" spans="1:8">
      <c r="H20" s="140"/>
    </row>
    <row r="21" spans="1:8">
      <c r="H21" s="140"/>
    </row>
    <row r="23" spans="1:8" ht="24">
      <c r="A23" s="131"/>
    </row>
    <row r="24" spans="1:8" ht="24">
      <c r="A24" s="131"/>
    </row>
    <row r="25" spans="1:8" ht="24">
      <c r="A25" s="131"/>
    </row>
    <row r="26" spans="1:8" ht="24">
      <c r="A26" s="131"/>
    </row>
    <row r="27" spans="1:8" ht="24">
      <c r="A27" s="131"/>
    </row>
    <row r="28" spans="1:8" ht="24">
      <c r="A28" s="131"/>
    </row>
    <row r="29" spans="1:8" ht="24">
      <c r="A29" s="131"/>
    </row>
    <row r="30" spans="1:8" ht="24">
      <c r="A30" s="131"/>
    </row>
    <row r="31" spans="1:8" ht="24">
      <c r="A31" s="131"/>
    </row>
    <row r="32" spans="1:8" ht="24">
      <c r="A32" s="131"/>
    </row>
  </sheetData>
  <phoneticPr fontId="5" type="noConversion"/>
  <conditionalFormatting sqref="H2:H40">
    <cfRule type="expression" dxfId="4" priority="1">
      <formula>AND(H2-TODAY()&lt;=7, H2-TODAY()&gt;=0)</formula>
    </cfRule>
  </conditionalFormatting>
  <hyperlinks>
    <hyperlink ref="I2" r:id="rId1" xr:uid="{DE63BD14-D744-4A44-869E-7533B4F83BBC}"/>
    <hyperlink ref="I3" r:id="rId2" xr:uid="{FA0EBE0A-784F-4F24-BC2F-74105EDB2540}"/>
    <hyperlink ref="I4" r:id="rId3" xr:uid="{4AEA5FDB-8F95-426D-B675-66DE4D9A4216}"/>
    <hyperlink ref="I5" r:id="rId4" xr:uid="{BFA593F6-3D81-4F19-A2B8-F041B66B8DF6}"/>
    <hyperlink ref="I6:I7" r:id="rId5" display="Acknowledgement Records" xr:uid="{D0551B43-68ED-4E57-B148-DD62D282334D}"/>
    <hyperlink ref="I8" r:id="rId6" xr:uid="{469E8A4D-A60A-4FD1-8889-A7C03E0924DB}"/>
  </hyperlinks>
  <pageMargins left="0.75" right="0.75" top="1" bottom="1" header="0.5" footer="0.5"/>
  <drawing r:id="rId7"/>
  <extLst>
    <ext xmlns:x14="http://schemas.microsoft.com/office/spreadsheetml/2009/9/main" uri="{CCE6A557-97BC-4b89-ADB6-D9C93CAAB3DF}">
      <x14:dataValidations xmlns:xm="http://schemas.microsoft.com/office/excel/2006/main" count="2">
        <x14:dataValidation type="list" allowBlank="1" showInputMessage="1" showErrorMessage="1" xr:uid="{980285ED-ADED-594F-B485-BB3BE891983A}">
          <x14:formula1>
            <xm:f>'Instructions and Definitions'!$G$22:$G$33</xm:f>
          </x14:formula1>
          <xm:sqref>C9:C54</xm:sqref>
        </x14:dataValidation>
        <x14:dataValidation type="list" allowBlank="1" showInputMessage="1" showErrorMessage="1" xr:uid="{F9E5B7AC-3382-C54E-84C0-BD237EE9C41E}">
          <x14:formula1>
            <xm:f>'Instructions and Definitions'!$G$83:$G$91</xm:f>
          </x14:formula1>
          <xm:sqref>D2:D148 E2:E65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DCCFE-461A-474A-A1A2-A70BA4B021C0}">
  <dimension ref="A1:J41"/>
  <sheetViews>
    <sheetView topLeftCell="F2" workbookViewId="0">
      <selection activeCell="J7" sqref="J7"/>
    </sheetView>
  </sheetViews>
  <sheetFormatPr defaultColWidth="11.42578125" defaultRowHeight="15"/>
  <cols>
    <col min="1" max="1" width="18" customWidth="1"/>
    <col min="2" max="2" width="43.42578125" customWidth="1"/>
    <col min="3" max="3" width="45.7109375" customWidth="1"/>
    <col min="4" max="4" width="36.28515625" customWidth="1"/>
    <col min="5" max="5" width="46.140625" customWidth="1"/>
    <col min="6" max="6" width="42" customWidth="1"/>
    <col min="7" max="7" width="65.140625" customWidth="1"/>
    <col min="8" max="8" width="27.28515625" customWidth="1"/>
    <col min="9" max="9" width="16.85546875" customWidth="1"/>
    <col min="10" max="10" width="22.85546875" customWidth="1"/>
  </cols>
  <sheetData>
    <row r="1" spans="1:10" ht="18.75">
      <c r="B1" s="22" t="s">
        <v>1428</v>
      </c>
    </row>
    <row r="3" spans="1:10">
      <c r="A3" s="291" t="s">
        <v>1429</v>
      </c>
      <c r="B3" s="142" t="s">
        <v>1430</v>
      </c>
      <c r="C3" s="142" t="s">
        <v>1431</v>
      </c>
      <c r="D3" s="142" t="s">
        <v>1432</v>
      </c>
      <c r="E3" s="142" t="s">
        <v>1433</v>
      </c>
      <c r="F3" s="142" t="s">
        <v>1434</v>
      </c>
      <c r="G3" s="142" t="s">
        <v>1435</v>
      </c>
      <c r="H3" s="292" t="s">
        <v>1436</v>
      </c>
      <c r="I3" s="291" t="s">
        <v>320</v>
      </c>
      <c r="J3" s="291" t="s">
        <v>1378</v>
      </c>
    </row>
    <row r="4" spans="1:10">
      <c r="A4" s="140"/>
      <c r="B4" s="34" t="s">
        <v>1437</v>
      </c>
      <c r="C4" s="4" t="s">
        <v>1438</v>
      </c>
      <c r="D4" s="4" t="s">
        <v>1439</v>
      </c>
      <c r="E4" s="34" t="s">
        <v>1440</v>
      </c>
      <c r="F4" s="66" t="s">
        <v>1441</v>
      </c>
      <c r="G4" s="4" t="s">
        <v>1442</v>
      </c>
      <c r="H4" s="4" t="s">
        <v>1443</v>
      </c>
      <c r="I4" s="140">
        <v>45991</v>
      </c>
      <c r="J4" s="28"/>
    </row>
    <row r="5" spans="1:10" ht="75.75" customHeight="1">
      <c r="A5" s="140">
        <v>45961</v>
      </c>
      <c r="B5" s="34" t="s">
        <v>1444</v>
      </c>
      <c r="C5" s="4" t="s">
        <v>1445</v>
      </c>
      <c r="D5" s="4" t="s">
        <v>1446</v>
      </c>
      <c r="E5" s="34" t="s">
        <v>1447</v>
      </c>
      <c r="F5" s="66" t="s">
        <v>1448</v>
      </c>
      <c r="G5" s="4" t="s">
        <v>1449</v>
      </c>
      <c r="H5" s="4" t="s">
        <v>1450</v>
      </c>
      <c r="I5" s="140">
        <v>46112</v>
      </c>
      <c r="J5" s="28" t="s">
        <v>1451</v>
      </c>
    </row>
    <row r="6" spans="1:10" ht="76.5">
      <c r="A6" s="140">
        <v>45961</v>
      </c>
      <c r="B6" s="34" t="s">
        <v>1452</v>
      </c>
      <c r="C6" s="4" t="s">
        <v>1453</v>
      </c>
      <c r="D6" s="4" t="s">
        <v>1454</v>
      </c>
      <c r="E6" s="34" t="s">
        <v>1455</v>
      </c>
      <c r="F6" s="66" t="s">
        <v>1456</v>
      </c>
      <c r="G6" s="4" t="s">
        <v>1457</v>
      </c>
      <c r="H6" s="4" t="s">
        <v>1458</v>
      </c>
      <c r="I6" s="140">
        <v>46112</v>
      </c>
      <c r="J6" s="85" t="s">
        <v>253</v>
      </c>
    </row>
    <row r="7" spans="1:10" ht="60.75">
      <c r="A7" s="140">
        <v>45772</v>
      </c>
      <c r="B7" s="34" t="s">
        <v>1459</v>
      </c>
      <c r="C7" s="4" t="s">
        <v>1460</v>
      </c>
      <c r="D7" s="4" t="s">
        <v>1461</v>
      </c>
      <c r="E7" s="34" t="s">
        <v>1462</v>
      </c>
      <c r="F7" s="66" t="s">
        <v>1463</v>
      </c>
      <c r="G7" s="4" t="s">
        <v>1464</v>
      </c>
      <c r="H7" s="4" t="s">
        <v>1465</v>
      </c>
      <c r="I7" s="140">
        <v>46142</v>
      </c>
      <c r="J7" s="28" t="s">
        <v>1466</v>
      </c>
    </row>
    <row r="8" spans="1:10">
      <c r="A8" s="140"/>
      <c r="B8" s="34" t="s">
        <v>1467</v>
      </c>
      <c r="C8" s="4" t="s">
        <v>1468</v>
      </c>
      <c r="D8" s="4" t="s">
        <v>1439</v>
      </c>
      <c r="E8" s="34" t="s">
        <v>1469</v>
      </c>
      <c r="F8" s="66" t="s">
        <v>1470</v>
      </c>
      <c r="G8" s="4" t="s">
        <v>1471</v>
      </c>
      <c r="H8" s="4" t="s">
        <v>1472</v>
      </c>
      <c r="I8" s="140"/>
      <c r="J8" s="28"/>
    </row>
    <row r="9" spans="1:10">
      <c r="A9" s="140"/>
      <c r="I9" s="140"/>
      <c r="J9" s="28"/>
    </row>
    <row r="10" spans="1:10">
      <c r="A10" s="140"/>
      <c r="I10" s="140"/>
      <c r="J10" s="28"/>
    </row>
    <row r="11" spans="1:10">
      <c r="A11" s="140"/>
      <c r="I11" s="140"/>
      <c r="J11" s="28"/>
    </row>
    <row r="12" spans="1:10">
      <c r="A12" s="140"/>
      <c r="E12">
        <f>+E13</f>
        <v>0</v>
      </c>
      <c r="I12" s="140"/>
      <c r="J12" s="28"/>
    </row>
    <row r="13" spans="1:10">
      <c r="A13" s="140"/>
      <c r="I13" s="140"/>
      <c r="J13" s="28"/>
    </row>
    <row r="14" spans="1:10">
      <c r="A14" s="140"/>
      <c r="I14" s="140"/>
      <c r="J14" s="28"/>
    </row>
    <row r="15" spans="1:10">
      <c r="A15" s="140"/>
      <c r="I15" s="140"/>
      <c r="J15" s="28"/>
    </row>
    <row r="16" spans="1:10">
      <c r="A16" s="140"/>
      <c r="I16" s="140"/>
      <c r="J16" s="28"/>
    </row>
    <row r="17" spans="1:10">
      <c r="A17" s="140"/>
      <c r="I17" s="140"/>
      <c r="J17" s="28"/>
    </row>
    <row r="18" spans="1:10">
      <c r="A18" s="140"/>
      <c r="I18" s="140"/>
      <c r="J18" s="28"/>
    </row>
    <row r="19" spans="1:10">
      <c r="A19" s="140"/>
      <c r="I19" s="140"/>
      <c r="J19" s="28"/>
    </row>
    <row r="20" spans="1:10">
      <c r="A20" s="140"/>
      <c r="I20" s="140"/>
      <c r="J20" s="28"/>
    </row>
    <row r="21" spans="1:10">
      <c r="A21" s="140"/>
      <c r="I21" s="140"/>
      <c r="J21" s="28"/>
    </row>
    <row r="22" spans="1:10">
      <c r="A22" s="140"/>
      <c r="I22" s="140"/>
      <c r="J22" s="28"/>
    </row>
    <row r="23" spans="1:10">
      <c r="A23" s="140"/>
      <c r="I23" s="140"/>
    </row>
    <row r="24" spans="1:10">
      <c r="A24" s="140"/>
      <c r="I24" s="140"/>
    </row>
    <row r="25" spans="1:10">
      <c r="A25" s="140"/>
      <c r="I25" s="140"/>
    </row>
    <row r="26" spans="1:10">
      <c r="A26" s="140"/>
      <c r="I26" s="140"/>
    </row>
    <row r="27" spans="1:10">
      <c r="A27" s="140"/>
      <c r="I27" s="140"/>
    </row>
    <row r="28" spans="1:10">
      <c r="A28" s="140"/>
      <c r="I28" s="140"/>
    </row>
    <row r="29" spans="1:10">
      <c r="I29" s="140"/>
    </row>
    <row r="30" spans="1:10">
      <c r="I30" s="140"/>
    </row>
    <row r="31" spans="1:10">
      <c r="I31" s="140"/>
    </row>
    <row r="32" spans="1:10">
      <c r="I32" s="140"/>
    </row>
    <row r="33" spans="9:9">
      <c r="I33" s="140"/>
    </row>
    <row r="34" spans="9:9">
      <c r="I34" s="140"/>
    </row>
    <row r="35" spans="9:9">
      <c r="I35" s="140"/>
    </row>
    <row r="36" spans="9:9">
      <c r="I36" s="140"/>
    </row>
    <row r="37" spans="9:9">
      <c r="I37" s="140"/>
    </row>
    <row r="38" spans="9:9">
      <c r="I38" s="140"/>
    </row>
    <row r="39" spans="9:9">
      <c r="I39" s="140"/>
    </row>
    <row r="40" spans="9:9">
      <c r="I40" s="140"/>
    </row>
    <row r="41" spans="9:9">
      <c r="I41" s="140"/>
    </row>
  </sheetData>
  <hyperlinks>
    <hyperlink ref="F4" r:id="rId1" xr:uid="{885236C7-0043-2446-B963-267F3F4283EB}"/>
    <hyperlink ref="F5" r:id="rId2" xr:uid="{0728A00D-2FA8-964E-87D6-DA40335F46EF}"/>
    <hyperlink ref="F6" r:id="rId3" xr:uid="{83A79BE7-DCC1-5C4E-ABD2-10C6A1900D1A}"/>
    <hyperlink ref="F7" r:id="rId4" xr:uid="{D6E78834-00F6-7A4B-91FC-C611F3445220}"/>
    <hyperlink ref="F8" r:id="rId5" xr:uid="{CA16F7ED-2CDA-A844-803B-57CD171BC79B}"/>
    <hyperlink ref="J6" r:id="rId6" xr:uid="{134275DE-46A9-462A-80AB-0AC482573C02}"/>
  </hyperlinks>
  <pageMargins left="0.7" right="0.7" top="0.75" bottom="0.75" header="0.3" footer="0.3"/>
  <drawing r:id="rId7"/>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92D050"/>
  </sheetPr>
  <dimension ref="A1:I6"/>
  <sheetViews>
    <sheetView workbookViewId="0">
      <selection activeCell="F6" sqref="F6:I6"/>
    </sheetView>
  </sheetViews>
  <sheetFormatPr defaultColWidth="8.85546875" defaultRowHeight="15"/>
  <cols>
    <col min="1" max="1" width="9.85546875" bestFit="1" customWidth="1"/>
    <col min="2" max="2" width="15.7109375" customWidth="1"/>
    <col min="3" max="3" width="11.42578125" customWidth="1"/>
    <col min="4" max="4" width="24.28515625" bestFit="1" customWidth="1"/>
    <col min="5" max="5" width="20.7109375" customWidth="1"/>
    <col min="6" max="6" width="24.7109375" customWidth="1"/>
    <col min="7" max="7" width="13.42578125" bestFit="1" customWidth="1"/>
    <col min="8" max="8" width="19.85546875" customWidth="1"/>
    <col min="9" max="9" width="11.28515625" bestFit="1" customWidth="1"/>
  </cols>
  <sheetData>
    <row r="1" spans="1:9" s="1" customFormat="1" ht="15.95" thickBot="1">
      <c r="A1" s="1" t="s">
        <v>1473</v>
      </c>
      <c r="B1" s="1" t="s">
        <v>1474</v>
      </c>
      <c r="C1" s="1" t="s">
        <v>183</v>
      </c>
      <c r="D1" s="1" t="s">
        <v>1412</v>
      </c>
      <c r="E1" s="1" t="s">
        <v>1475</v>
      </c>
      <c r="F1" s="1" t="s">
        <v>1476</v>
      </c>
      <c r="G1" s="1" t="s">
        <v>1477</v>
      </c>
      <c r="H1" s="1" t="s">
        <v>1271</v>
      </c>
      <c r="I1" s="1" t="s">
        <v>1478</v>
      </c>
    </row>
    <row r="2" spans="1:9" ht="48.95" thickBot="1">
      <c r="A2" s="217" t="s">
        <v>1479</v>
      </c>
      <c r="B2" s="218" t="e">
        <f>'Audit Log'!#REF!</f>
        <v>#REF!</v>
      </c>
      <c r="C2" s="219">
        <v>45566</v>
      </c>
      <c r="D2" s="220" t="s">
        <v>1480</v>
      </c>
      <c r="E2" s="220" t="s">
        <v>1481</v>
      </c>
      <c r="F2" s="220" t="s">
        <v>1482</v>
      </c>
      <c r="G2" s="220" t="s">
        <v>1483</v>
      </c>
      <c r="H2" s="219">
        <v>45777</v>
      </c>
      <c r="I2" s="221" t="s">
        <v>218</v>
      </c>
    </row>
    <row r="3" spans="1:9" ht="80.099999999999994">
      <c r="A3" s="328" t="s">
        <v>230</v>
      </c>
      <c r="B3" s="329" t="str">
        <f>'Audit Log'!A2</f>
        <v>AUD001</v>
      </c>
      <c r="C3" s="330">
        <v>45771</v>
      </c>
      <c r="D3" s="331" t="s">
        <v>1484</v>
      </c>
      <c r="E3" s="331" t="s">
        <v>1485</v>
      </c>
      <c r="F3" s="331" t="s">
        <v>241</v>
      </c>
      <c r="G3" s="331" t="s">
        <v>1486</v>
      </c>
      <c r="H3" s="330">
        <v>45838</v>
      </c>
      <c r="I3" s="332" t="s">
        <v>1266</v>
      </c>
    </row>
    <row r="4" spans="1:9" ht="32.1">
      <c r="A4" s="222"/>
      <c r="F4" s="212" t="s">
        <v>1487</v>
      </c>
      <c r="G4" s="113" t="s">
        <v>1488</v>
      </c>
      <c r="H4" s="244">
        <v>45807</v>
      </c>
      <c r="I4" s="333"/>
    </row>
    <row r="5" spans="1:9" ht="32.1">
      <c r="A5" s="222"/>
      <c r="F5" s="28" t="s">
        <v>232</v>
      </c>
      <c r="G5" t="s">
        <v>160</v>
      </c>
      <c r="H5" s="103">
        <v>45777</v>
      </c>
      <c r="I5" s="223" t="s">
        <v>218</v>
      </c>
    </row>
    <row r="6" spans="1:9" ht="33" thickBot="1">
      <c r="A6" s="224"/>
      <c r="B6" s="225"/>
      <c r="C6" s="225"/>
      <c r="D6" s="225"/>
      <c r="E6" s="225"/>
      <c r="F6" s="325" t="s">
        <v>233</v>
      </c>
      <c r="G6" s="326" t="s">
        <v>1488</v>
      </c>
      <c r="H6" s="324">
        <v>45838</v>
      </c>
      <c r="I6" s="334"/>
    </row>
  </sheetData>
  <phoneticPr fontId="5" type="noConversion"/>
  <conditionalFormatting sqref="H3:H39">
    <cfRule type="expression" dxfId="3" priority="1">
      <formula>AND(H3-TODAY()&lt;=7, H3-TODAY()&gt;=0)</formula>
    </cfRule>
  </conditionalFormatting>
  <pageMargins left="0.75" right="0.75" top="1" bottom="1" header="0.5" footer="0.5"/>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E71A3-6E75-9E4C-99F3-C926BF51FAF0}">
  <sheetPr codeName="Sheet15"/>
  <dimension ref="A1:V37"/>
  <sheetViews>
    <sheetView workbookViewId="0">
      <selection activeCell="G2" sqref="G2"/>
    </sheetView>
  </sheetViews>
  <sheetFormatPr defaultColWidth="22.85546875" defaultRowHeight="15"/>
  <cols>
    <col min="1" max="1" width="9.42578125" bestFit="1" customWidth="1"/>
    <col min="2" max="2" width="10.85546875" bestFit="1" customWidth="1"/>
    <col min="3" max="3" width="9.42578125" bestFit="1" customWidth="1"/>
    <col min="4" max="4" width="12.140625" bestFit="1" customWidth="1"/>
    <col min="5" max="5" width="14.85546875" bestFit="1" customWidth="1"/>
    <col min="6" max="6" width="13.28515625" bestFit="1" customWidth="1"/>
    <col min="7" max="7" width="50.85546875" bestFit="1" customWidth="1"/>
    <col min="8" max="8" width="12.7109375" bestFit="1" customWidth="1"/>
    <col min="9" max="9" width="19.7109375" bestFit="1" customWidth="1"/>
    <col min="10" max="10" width="8" bestFit="1" customWidth="1"/>
    <col min="11" max="11" width="11.28515625" bestFit="1" customWidth="1"/>
    <col min="12" max="12" width="22.7109375" bestFit="1" customWidth="1"/>
    <col min="13" max="13" width="21.7109375" bestFit="1" customWidth="1"/>
    <col min="14" max="14" width="10.140625" bestFit="1" customWidth="1"/>
    <col min="15" max="15" width="13.140625" bestFit="1" customWidth="1"/>
    <col min="16" max="16" width="12.140625" bestFit="1" customWidth="1"/>
    <col min="17" max="17" width="17.7109375" bestFit="1" customWidth="1"/>
    <col min="18" max="18" width="24.85546875" bestFit="1" customWidth="1"/>
    <col min="19" max="19" width="28.28515625" customWidth="1"/>
    <col min="20" max="20" width="11.140625" bestFit="1" customWidth="1"/>
    <col min="21" max="21" width="19.85546875" bestFit="1" customWidth="1"/>
    <col min="22" max="22" width="39.85546875" bestFit="1" customWidth="1"/>
    <col min="35" max="35" width="210.28515625" bestFit="1" customWidth="1"/>
  </cols>
  <sheetData>
    <row r="1" spans="1:22" s="1" customFormat="1">
      <c r="A1" s="1" t="s">
        <v>1489</v>
      </c>
      <c r="B1" s="1" t="s">
        <v>653</v>
      </c>
      <c r="C1" s="1" t="s">
        <v>821</v>
      </c>
      <c r="D1" s="1" t="s">
        <v>1490</v>
      </c>
      <c r="E1" s="1" t="s">
        <v>1491</v>
      </c>
      <c r="F1" s="1" t="s">
        <v>1492</v>
      </c>
      <c r="G1" s="1" t="s">
        <v>1493</v>
      </c>
      <c r="H1" s="1" t="s">
        <v>822</v>
      </c>
      <c r="I1" s="1" t="s">
        <v>1494</v>
      </c>
      <c r="J1" s="1" t="s">
        <v>1495</v>
      </c>
      <c r="K1" s="1" t="s">
        <v>1496</v>
      </c>
      <c r="L1" s="1" t="s">
        <v>1497</v>
      </c>
      <c r="M1" s="1" t="s">
        <v>1498</v>
      </c>
      <c r="N1" s="1" t="s">
        <v>1499</v>
      </c>
      <c r="O1" s="1" t="s">
        <v>1500</v>
      </c>
      <c r="P1" s="1" t="s">
        <v>1501</v>
      </c>
      <c r="Q1" s="1" t="s">
        <v>1502</v>
      </c>
      <c r="R1" s="1" t="s">
        <v>1503</v>
      </c>
      <c r="S1" s="1" t="s">
        <v>1504</v>
      </c>
      <c r="T1" s="1" t="s">
        <v>1505</v>
      </c>
      <c r="U1" s="1" t="s">
        <v>700</v>
      </c>
      <c r="V1" s="1" t="s">
        <v>1506</v>
      </c>
    </row>
    <row r="2" spans="1:22">
      <c r="A2" t="s">
        <v>1507</v>
      </c>
      <c r="B2" t="s">
        <v>658</v>
      </c>
      <c r="C2" t="s">
        <v>218</v>
      </c>
      <c r="D2" t="s">
        <v>169</v>
      </c>
      <c r="E2" t="s">
        <v>169</v>
      </c>
      <c r="F2" s="103">
        <v>45588</v>
      </c>
      <c r="G2" t="s">
        <v>1508</v>
      </c>
      <c r="H2" t="s">
        <v>1509</v>
      </c>
      <c r="I2" t="s">
        <v>1510</v>
      </c>
      <c r="J2" t="s">
        <v>672</v>
      </c>
      <c r="K2" t="s">
        <v>151</v>
      </c>
      <c r="L2" t="s">
        <v>1511</v>
      </c>
      <c r="M2" t="s">
        <v>628</v>
      </c>
      <c r="N2" t="s">
        <v>175</v>
      </c>
      <c r="O2" t="s">
        <v>684</v>
      </c>
      <c r="P2" s="103">
        <v>45729</v>
      </c>
      <c r="Q2" s="103" t="s">
        <v>1512</v>
      </c>
      <c r="R2" s="103">
        <v>45729</v>
      </c>
      <c r="S2" s="103">
        <v>45729</v>
      </c>
      <c r="T2" s="103">
        <v>45730</v>
      </c>
      <c r="U2" t="s">
        <v>704</v>
      </c>
      <c r="V2" t="s">
        <v>151</v>
      </c>
    </row>
    <row r="3" spans="1:22">
      <c r="A3" t="s">
        <v>1513</v>
      </c>
    </row>
    <row r="4" spans="1:22">
      <c r="A4" t="s">
        <v>1514</v>
      </c>
    </row>
    <row r="5" spans="1:22">
      <c r="A5" t="s">
        <v>1515</v>
      </c>
    </row>
    <row r="6" spans="1:22">
      <c r="A6" t="s">
        <v>1516</v>
      </c>
    </row>
    <row r="7" spans="1:22">
      <c r="A7" t="s">
        <v>1517</v>
      </c>
    </row>
    <row r="8" spans="1:22">
      <c r="A8" t="s">
        <v>1518</v>
      </c>
    </row>
    <row r="9" spans="1:22">
      <c r="A9" t="s">
        <v>1519</v>
      </c>
    </row>
    <row r="10" spans="1:22">
      <c r="A10" t="s">
        <v>1520</v>
      </c>
    </row>
    <row r="11" spans="1:22">
      <c r="A11" t="s">
        <v>1521</v>
      </c>
    </row>
    <row r="12" spans="1:22">
      <c r="A12" t="s">
        <v>1522</v>
      </c>
    </row>
    <row r="13" spans="1:22">
      <c r="A13" t="s">
        <v>1523</v>
      </c>
    </row>
    <row r="14" spans="1:22">
      <c r="A14" t="s">
        <v>1524</v>
      </c>
    </row>
    <row r="15" spans="1:22">
      <c r="A15" t="s">
        <v>1525</v>
      </c>
    </row>
    <row r="16" spans="1:22">
      <c r="A16" t="s">
        <v>1526</v>
      </c>
    </row>
    <row r="17" spans="1:1">
      <c r="A17" t="s">
        <v>1527</v>
      </c>
    </row>
    <row r="18" spans="1:1">
      <c r="A18" t="s">
        <v>1528</v>
      </c>
    </row>
    <row r="19" spans="1:1">
      <c r="A19" t="s">
        <v>1529</v>
      </c>
    </row>
    <row r="20" spans="1:1">
      <c r="A20" t="s">
        <v>1530</v>
      </c>
    </row>
    <row r="21" spans="1:1">
      <c r="A21" t="s">
        <v>1531</v>
      </c>
    </row>
    <row r="22" spans="1:1">
      <c r="A22" t="s">
        <v>1532</v>
      </c>
    </row>
    <row r="23" spans="1:1">
      <c r="A23" t="s">
        <v>1533</v>
      </c>
    </row>
    <row r="24" spans="1:1">
      <c r="A24" t="s">
        <v>1534</v>
      </c>
    </row>
    <row r="25" spans="1:1">
      <c r="A25" t="s">
        <v>1535</v>
      </c>
    </row>
    <row r="26" spans="1:1">
      <c r="A26" t="s">
        <v>1536</v>
      </c>
    </row>
    <row r="27" spans="1:1">
      <c r="A27" t="s">
        <v>1537</v>
      </c>
    </row>
    <row r="28" spans="1:1">
      <c r="A28" t="s">
        <v>1538</v>
      </c>
    </row>
    <row r="29" spans="1:1">
      <c r="A29" t="s">
        <v>1539</v>
      </c>
    </row>
    <row r="30" spans="1:1">
      <c r="A30" t="s">
        <v>1540</v>
      </c>
    </row>
    <row r="31" spans="1:1">
      <c r="A31" t="s">
        <v>1541</v>
      </c>
    </row>
    <row r="32" spans="1:1">
      <c r="A32" t="s">
        <v>1542</v>
      </c>
    </row>
    <row r="33" spans="1:1">
      <c r="A33" t="s">
        <v>1543</v>
      </c>
    </row>
    <row r="34" spans="1:1">
      <c r="A34" t="s">
        <v>1544</v>
      </c>
    </row>
    <row r="35" spans="1:1">
      <c r="A35" t="s">
        <v>1545</v>
      </c>
    </row>
    <row r="36" spans="1:1">
      <c r="A36" t="s">
        <v>1546</v>
      </c>
    </row>
    <row r="37" spans="1:1">
      <c r="A37" t="s">
        <v>1547</v>
      </c>
    </row>
  </sheetData>
  <phoneticPr fontId="5" type="noConversion"/>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76718A7F-0E71-C74C-B930-F9223257582C}">
          <x14:formula1>
            <xm:f>'Instructions and Definitions'!$G$36:$G$37</xm:f>
          </x14:formula1>
          <xm:sqref>C2:C100</xm:sqref>
        </x14:dataValidation>
        <x14:dataValidation type="list" allowBlank="1" showInputMessage="1" showErrorMessage="1" xr:uid="{201206DF-9F1B-AE4E-A004-2219A10D2D57}">
          <x14:formula1>
            <xm:f>'Instructions and Definitions'!$G$41:$G$44</xm:f>
          </x14:formula1>
          <xm:sqref>B2:B100</xm:sqref>
        </x14:dataValidation>
        <x14:dataValidation type="list" allowBlank="1" showInputMessage="1" showErrorMessage="1" xr:uid="{2013C40E-B7B7-A741-B10F-DFAA2CB7294B}">
          <x14:formula1>
            <xm:f>'Instructions and Definitions'!$G$48:$G$49</xm:f>
          </x14:formula1>
          <xm:sqref>J2:J149</xm:sqref>
        </x14:dataValidation>
        <x14:dataValidation type="list" allowBlank="1" showInputMessage="1" showErrorMessage="1" xr:uid="{FBC1ECBF-CF54-F64C-A1B0-542B4DD4A1CB}">
          <x14:formula1>
            <xm:f>'Instructions and Definitions'!$G$53:$G$56</xm:f>
          </x14:formula1>
          <xm:sqref>O2:O246</xm:sqref>
        </x14:dataValidation>
        <x14:dataValidation type="list" allowBlank="1" showInputMessage="1" showErrorMessage="1" xr:uid="{E13523D1-2F0B-3641-AA00-788773013640}">
          <x14:formula1>
            <xm:f>'Instructions and Definitions'!$G$60:$G$62</xm:f>
          </x14:formula1>
          <xm:sqref>U2:U208</xm:sqref>
        </x14:dataValidation>
        <x14:dataValidation type="list" allowBlank="1" showInputMessage="1" showErrorMessage="1" xr:uid="{8BF9B9F2-11D7-3147-8EC0-93CA0066720B}">
          <x14:formula1>
            <xm:f>'Instructions and Definitions'!$G$22:$G$33</xm:f>
          </x14:formula1>
          <xm:sqref>M2:M120 N2:N129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8B793-1583-654F-9D2B-66A30A76541A}">
  <sheetPr codeName="Sheet16"/>
  <dimension ref="A1:AF48"/>
  <sheetViews>
    <sheetView workbookViewId="0">
      <selection activeCell="D2" sqref="D2:D4"/>
    </sheetView>
  </sheetViews>
  <sheetFormatPr defaultColWidth="11.42578125" defaultRowHeight="15"/>
  <cols>
    <col min="1" max="1" width="12.85546875" bestFit="1" customWidth="1"/>
    <col min="2" max="2" width="10.140625" bestFit="1" customWidth="1"/>
    <col min="3" max="3" width="37.28515625" customWidth="1"/>
    <col min="4" max="4" width="49.28515625" customWidth="1"/>
    <col min="5" max="5" width="17.7109375" customWidth="1"/>
    <col min="6" max="7" width="22.140625" customWidth="1"/>
    <col min="8" max="8" width="19.85546875" customWidth="1"/>
    <col min="9" max="9" width="12.42578125" customWidth="1"/>
    <col min="10" max="10" width="14.42578125" bestFit="1" customWidth="1"/>
    <col min="11" max="11" width="18.7109375" customWidth="1"/>
    <col min="12" max="12" width="14.85546875" customWidth="1"/>
    <col min="13" max="13" width="13.7109375" customWidth="1"/>
    <col min="14" max="14" width="13.42578125" customWidth="1"/>
    <col min="15" max="15" width="12.85546875" customWidth="1"/>
    <col min="16" max="16" width="18.42578125" customWidth="1"/>
    <col min="17" max="17" width="20.28515625" bestFit="1" customWidth="1"/>
    <col min="18" max="18" width="17.140625" bestFit="1" customWidth="1"/>
    <col min="32" max="32" width="8.85546875" bestFit="1" customWidth="1"/>
  </cols>
  <sheetData>
    <row r="1" spans="1:32" s="1" customFormat="1">
      <c r="A1" s="1" t="s">
        <v>1548</v>
      </c>
      <c r="B1" s="1" t="s">
        <v>1489</v>
      </c>
      <c r="C1" s="1" t="s">
        <v>1270</v>
      </c>
      <c r="D1" s="1" t="s">
        <v>1549</v>
      </c>
      <c r="E1" s="1" t="s">
        <v>1550</v>
      </c>
      <c r="F1" s="1" t="s">
        <v>1551</v>
      </c>
      <c r="G1" s="1" t="s">
        <v>723</v>
      </c>
      <c r="H1" s="1" t="s">
        <v>719</v>
      </c>
      <c r="I1" s="1" t="s">
        <v>1552</v>
      </c>
      <c r="J1" s="1" t="s">
        <v>1553</v>
      </c>
      <c r="K1" s="1" t="s">
        <v>1493</v>
      </c>
      <c r="L1" s="1" t="s">
        <v>1554</v>
      </c>
      <c r="M1" s="1" t="s">
        <v>1555</v>
      </c>
      <c r="N1" s="1" t="s">
        <v>1556</v>
      </c>
      <c r="O1" s="1" t="s">
        <v>1557</v>
      </c>
      <c r="P1" s="1" t="s">
        <v>1558</v>
      </c>
      <c r="Q1" s="1" t="s">
        <v>1559</v>
      </c>
      <c r="R1" s="1" t="s">
        <v>320</v>
      </c>
    </row>
    <row r="2" spans="1:32">
      <c r="A2" s="101" t="s">
        <v>1560</v>
      </c>
      <c r="C2" t="s">
        <v>175</v>
      </c>
      <c r="D2" t="s">
        <v>1561</v>
      </c>
      <c r="E2">
        <v>1</v>
      </c>
      <c r="F2">
        <v>0</v>
      </c>
      <c r="G2" t="s">
        <v>724</v>
      </c>
      <c r="H2" t="s">
        <v>721</v>
      </c>
      <c r="I2" t="s">
        <v>175</v>
      </c>
      <c r="J2" s="140">
        <v>45758</v>
      </c>
      <c r="R2" s="103">
        <v>46122</v>
      </c>
    </row>
    <row r="3" spans="1:32" ht="18.75" customHeight="1">
      <c r="A3" s="101" t="s">
        <v>1562</v>
      </c>
      <c r="C3" t="s">
        <v>175</v>
      </c>
      <c r="D3" t="s">
        <v>1563</v>
      </c>
      <c r="E3">
        <v>1</v>
      </c>
      <c r="F3">
        <v>0</v>
      </c>
      <c r="G3" t="s">
        <v>724</v>
      </c>
      <c r="H3" t="s">
        <v>721</v>
      </c>
      <c r="I3" t="s">
        <v>175</v>
      </c>
      <c r="J3" s="140">
        <v>45758</v>
      </c>
      <c r="M3" t="s">
        <v>1564</v>
      </c>
      <c r="R3" s="103">
        <v>46122</v>
      </c>
    </row>
    <row r="4" spans="1:32" ht="30.75">
      <c r="A4" s="101" t="s">
        <v>1565</v>
      </c>
      <c r="C4" t="s">
        <v>337</v>
      </c>
      <c r="D4" s="28" t="s">
        <v>1566</v>
      </c>
      <c r="E4">
        <v>1</v>
      </c>
      <c r="F4">
        <v>0</v>
      </c>
      <c r="G4" t="s">
        <v>724</v>
      </c>
      <c r="H4" t="s">
        <v>721</v>
      </c>
      <c r="I4" t="s">
        <v>175</v>
      </c>
      <c r="J4" s="140">
        <v>45758</v>
      </c>
      <c r="R4" s="103">
        <v>46122</v>
      </c>
    </row>
    <row r="5" spans="1:32">
      <c r="A5" s="101" t="s">
        <v>1567</v>
      </c>
      <c r="C5" t="s">
        <v>160</v>
      </c>
      <c r="D5" t="s">
        <v>1568</v>
      </c>
      <c r="E5">
        <v>1</v>
      </c>
      <c r="F5">
        <v>0</v>
      </c>
      <c r="G5" t="s">
        <v>724</v>
      </c>
      <c r="H5" t="s">
        <v>721</v>
      </c>
      <c r="I5" t="s">
        <v>175</v>
      </c>
      <c r="J5" s="140">
        <v>45758</v>
      </c>
      <c r="R5" s="103">
        <v>46122</v>
      </c>
    </row>
    <row r="6" spans="1:32">
      <c r="A6" s="101" t="s">
        <v>159</v>
      </c>
      <c r="C6" t="s">
        <v>160</v>
      </c>
      <c r="D6" t="s">
        <v>158</v>
      </c>
      <c r="E6">
        <v>1</v>
      </c>
      <c r="F6">
        <v>0</v>
      </c>
      <c r="G6" t="s">
        <v>724</v>
      </c>
      <c r="H6" t="s">
        <v>721</v>
      </c>
      <c r="I6" t="s">
        <v>175</v>
      </c>
      <c r="J6" s="140">
        <v>45758</v>
      </c>
      <c r="R6" s="103">
        <v>46122</v>
      </c>
    </row>
    <row r="7" spans="1:32">
      <c r="A7" s="101" t="s">
        <v>1569</v>
      </c>
      <c r="C7" t="s">
        <v>160</v>
      </c>
      <c r="D7" t="s">
        <v>142</v>
      </c>
      <c r="E7">
        <v>1</v>
      </c>
      <c r="F7">
        <v>0</v>
      </c>
      <c r="G7" t="s">
        <v>724</v>
      </c>
      <c r="H7" t="s">
        <v>721</v>
      </c>
      <c r="I7" t="s">
        <v>175</v>
      </c>
      <c r="J7" s="140">
        <v>45758</v>
      </c>
      <c r="R7" s="103">
        <v>46122</v>
      </c>
      <c r="AF7" s="1"/>
    </row>
    <row r="8" spans="1:32">
      <c r="A8" s="101" t="s">
        <v>1570</v>
      </c>
      <c r="C8" t="s">
        <v>160</v>
      </c>
      <c r="D8" t="s">
        <v>101</v>
      </c>
      <c r="E8">
        <v>1</v>
      </c>
      <c r="F8">
        <v>0</v>
      </c>
      <c r="G8" t="s">
        <v>724</v>
      </c>
      <c r="H8" t="s">
        <v>721</v>
      </c>
      <c r="I8" t="s">
        <v>175</v>
      </c>
      <c r="J8" s="140">
        <v>45758</v>
      </c>
      <c r="R8" s="103">
        <v>46122</v>
      </c>
    </row>
    <row r="9" spans="1:32">
      <c r="A9" s="101" t="s">
        <v>1571</v>
      </c>
      <c r="C9" t="s">
        <v>175</v>
      </c>
      <c r="D9" t="s">
        <v>872</v>
      </c>
      <c r="E9">
        <v>1</v>
      </c>
      <c r="F9">
        <v>0</v>
      </c>
      <c r="G9" t="s">
        <v>724</v>
      </c>
      <c r="H9" t="s">
        <v>721</v>
      </c>
      <c r="I9" t="s">
        <v>175</v>
      </c>
      <c r="J9" s="140">
        <v>45758</v>
      </c>
      <c r="R9" s="103">
        <v>46122</v>
      </c>
    </row>
    <row r="10" spans="1:32">
      <c r="A10" s="101" t="s">
        <v>1572</v>
      </c>
      <c r="C10" t="s">
        <v>160</v>
      </c>
      <c r="D10" t="s">
        <v>122</v>
      </c>
      <c r="E10">
        <v>1</v>
      </c>
      <c r="F10">
        <v>0</v>
      </c>
      <c r="G10" t="s">
        <v>724</v>
      </c>
      <c r="H10" t="s">
        <v>721</v>
      </c>
      <c r="I10" t="s">
        <v>175</v>
      </c>
      <c r="J10" s="140">
        <v>45758</v>
      </c>
      <c r="R10" s="103">
        <v>46122</v>
      </c>
    </row>
    <row r="11" spans="1:32">
      <c r="A11" s="101" t="s">
        <v>1573</v>
      </c>
      <c r="C11" t="s">
        <v>160</v>
      </c>
      <c r="D11" t="s">
        <v>95</v>
      </c>
      <c r="E11">
        <v>1</v>
      </c>
      <c r="F11">
        <v>0</v>
      </c>
      <c r="G11" t="s">
        <v>724</v>
      </c>
      <c r="H11" t="s">
        <v>721</v>
      </c>
      <c r="I11" t="s">
        <v>175</v>
      </c>
      <c r="J11" s="140">
        <v>45758</v>
      </c>
      <c r="R11" s="103">
        <v>46122</v>
      </c>
    </row>
    <row r="12" spans="1:32">
      <c r="A12" s="101" t="s">
        <v>1574</v>
      </c>
      <c r="C12" t="s">
        <v>507</v>
      </c>
      <c r="D12" t="s">
        <v>902</v>
      </c>
      <c r="E12">
        <v>1</v>
      </c>
      <c r="F12">
        <v>0</v>
      </c>
      <c r="G12" t="s">
        <v>724</v>
      </c>
      <c r="H12" t="s">
        <v>721</v>
      </c>
      <c r="I12" t="s">
        <v>175</v>
      </c>
      <c r="J12" s="140">
        <v>45758</v>
      </c>
      <c r="R12" s="103">
        <v>46122</v>
      </c>
    </row>
    <row r="13" spans="1:32">
      <c r="A13" s="101" t="s">
        <v>1575</v>
      </c>
      <c r="C13" t="s">
        <v>160</v>
      </c>
      <c r="D13" t="s">
        <v>1069</v>
      </c>
      <c r="E13">
        <v>1</v>
      </c>
      <c r="F13">
        <v>0</v>
      </c>
      <c r="G13" t="s">
        <v>724</v>
      </c>
      <c r="H13" t="s">
        <v>721</v>
      </c>
      <c r="I13" t="s">
        <v>175</v>
      </c>
      <c r="J13" s="140">
        <v>45758</v>
      </c>
      <c r="R13" s="103">
        <v>46122</v>
      </c>
    </row>
    <row r="14" spans="1:32">
      <c r="A14" s="101" t="s">
        <v>1576</v>
      </c>
      <c r="C14" t="s">
        <v>325</v>
      </c>
      <c r="D14" t="s">
        <v>143</v>
      </c>
      <c r="E14">
        <v>1</v>
      </c>
      <c r="F14">
        <v>0</v>
      </c>
      <c r="G14" t="s">
        <v>724</v>
      </c>
      <c r="H14" t="s">
        <v>721</v>
      </c>
      <c r="I14" t="s">
        <v>175</v>
      </c>
      <c r="J14" s="140">
        <v>45758</v>
      </c>
      <c r="R14" s="103">
        <v>46122</v>
      </c>
    </row>
    <row r="15" spans="1:32">
      <c r="A15" s="101" t="s">
        <v>1577</v>
      </c>
      <c r="C15" t="s">
        <v>325</v>
      </c>
      <c r="D15" t="s">
        <v>946</v>
      </c>
      <c r="E15">
        <v>1</v>
      </c>
      <c r="F15">
        <v>0</v>
      </c>
      <c r="G15" t="s">
        <v>724</v>
      </c>
      <c r="H15" t="s">
        <v>721</v>
      </c>
      <c r="I15" t="s">
        <v>175</v>
      </c>
      <c r="J15" s="140">
        <v>45758</v>
      </c>
      <c r="R15" s="103">
        <v>46122</v>
      </c>
    </row>
    <row r="16" spans="1:32">
      <c r="A16" s="101" t="s">
        <v>1578</v>
      </c>
      <c r="C16" t="s">
        <v>349</v>
      </c>
      <c r="D16" t="s">
        <v>1579</v>
      </c>
      <c r="E16">
        <v>1</v>
      </c>
      <c r="F16">
        <v>0</v>
      </c>
      <c r="G16" t="s">
        <v>724</v>
      </c>
      <c r="H16" t="s">
        <v>721</v>
      </c>
      <c r="I16" t="s">
        <v>175</v>
      </c>
      <c r="J16" s="140">
        <v>45758</v>
      </c>
      <c r="R16" s="103">
        <v>46122</v>
      </c>
    </row>
    <row r="17" spans="1:18">
      <c r="A17" s="101" t="s">
        <v>1580</v>
      </c>
      <c r="C17" t="s">
        <v>337</v>
      </c>
      <c r="D17" t="s">
        <v>852</v>
      </c>
      <c r="E17">
        <v>1</v>
      </c>
      <c r="F17">
        <v>0</v>
      </c>
      <c r="G17" t="s">
        <v>724</v>
      </c>
      <c r="H17" t="s">
        <v>721</v>
      </c>
      <c r="I17" t="s">
        <v>175</v>
      </c>
      <c r="J17" s="140">
        <v>45758</v>
      </c>
      <c r="R17" s="103">
        <v>46122</v>
      </c>
    </row>
    <row r="18" spans="1:18">
      <c r="A18" s="101" t="s">
        <v>1581</v>
      </c>
      <c r="C18" t="s">
        <v>325</v>
      </c>
      <c r="D18" t="s">
        <v>1582</v>
      </c>
      <c r="E18">
        <v>1</v>
      </c>
      <c r="F18">
        <v>0</v>
      </c>
      <c r="G18" t="s">
        <v>724</v>
      </c>
      <c r="H18" t="s">
        <v>721</v>
      </c>
      <c r="I18" t="s">
        <v>175</v>
      </c>
      <c r="J18" s="140">
        <v>45758</v>
      </c>
      <c r="R18" s="103">
        <v>46122</v>
      </c>
    </row>
    <row r="19" spans="1:18">
      <c r="A19" s="101" t="s">
        <v>1583</v>
      </c>
      <c r="C19" t="s">
        <v>337</v>
      </c>
      <c r="D19" t="s">
        <v>1584</v>
      </c>
      <c r="E19">
        <v>1</v>
      </c>
      <c r="F19">
        <v>0</v>
      </c>
      <c r="G19" t="s">
        <v>724</v>
      </c>
      <c r="H19" t="s">
        <v>721</v>
      </c>
      <c r="I19" t="s">
        <v>175</v>
      </c>
      <c r="J19" s="140">
        <v>45758</v>
      </c>
      <c r="R19" s="103">
        <v>46122</v>
      </c>
    </row>
    <row r="20" spans="1:18">
      <c r="A20" s="101" t="s">
        <v>1585</v>
      </c>
      <c r="C20" t="s">
        <v>507</v>
      </c>
      <c r="D20" t="s">
        <v>903</v>
      </c>
      <c r="E20">
        <v>1</v>
      </c>
      <c r="F20">
        <v>0</v>
      </c>
      <c r="G20" t="s">
        <v>724</v>
      </c>
      <c r="H20" t="s">
        <v>721</v>
      </c>
      <c r="I20" t="s">
        <v>175</v>
      </c>
      <c r="J20" s="140">
        <v>45758</v>
      </c>
      <c r="R20" s="103">
        <v>46122</v>
      </c>
    </row>
    <row r="21" spans="1:18">
      <c r="A21" s="101" t="s">
        <v>1586</v>
      </c>
      <c r="C21" t="s">
        <v>160</v>
      </c>
      <c r="D21" t="s">
        <v>1587</v>
      </c>
      <c r="E21">
        <v>1</v>
      </c>
      <c r="F21">
        <v>0</v>
      </c>
      <c r="G21" t="s">
        <v>724</v>
      </c>
      <c r="H21" t="s">
        <v>721</v>
      </c>
      <c r="I21" t="s">
        <v>175</v>
      </c>
      <c r="J21" s="140">
        <v>45758</v>
      </c>
      <c r="R21" s="103">
        <v>46122</v>
      </c>
    </row>
    <row r="22" spans="1:18">
      <c r="A22" s="101" t="s">
        <v>1588</v>
      </c>
      <c r="C22" t="s">
        <v>160</v>
      </c>
      <c r="D22" t="s">
        <v>1589</v>
      </c>
      <c r="E22">
        <v>1</v>
      </c>
      <c r="F22">
        <v>0</v>
      </c>
      <c r="G22" t="s">
        <v>724</v>
      </c>
      <c r="H22" t="s">
        <v>721</v>
      </c>
      <c r="I22" t="s">
        <v>175</v>
      </c>
      <c r="J22" s="140">
        <v>45758</v>
      </c>
      <c r="R22" s="103">
        <v>46122</v>
      </c>
    </row>
    <row r="23" spans="1:18">
      <c r="A23" s="101" t="s">
        <v>1590</v>
      </c>
      <c r="C23" t="s">
        <v>160</v>
      </c>
      <c r="D23" t="s">
        <v>1591</v>
      </c>
      <c r="E23">
        <v>1</v>
      </c>
      <c r="F23">
        <v>0</v>
      </c>
      <c r="G23" t="s">
        <v>724</v>
      </c>
      <c r="H23" t="s">
        <v>721</v>
      </c>
      <c r="I23" t="s">
        <v>175</v>
      </c>
      <c r="J23" s="140">
        <v>45758</v>
      </c>
      <c r="R23" s="103">
        <v>46122</v>
      </c>
    </row>
    <row r="24" spans="1:18">
      <c r="A24" s="101" t="s">
        <v>1592</v>
      </c>
      <c r="C24" t="s">
        <v>325</v>
      </c>
      <c r="D24" t="s">
        <v>1593</v>
      </c>
      <c r="E24">
        <v>1</v>
      </c>
      <c r="F24">
        <v>0</v>
      </c>
      <c r="G24" t="s">
        <v>724</v>
      </c>
      <c r="H24" t="s">
        <v>721</v>
      </c>
      <c r="I24" t="s">
        <v>175</v>
      </c>
      <c r="J24" s="140">
        <v>45758</v>
      </c>
      <c r="R24" s="103">
        <v>46122</v>
      </c>
    </row>
    <row r="25" spans="1:18">
      <c r="A25" s="101" t="s">
        <v>1594</v>
      </c>
      <c r="C25" t="s">
        <v>507</v>
      </c>
      <c r="D25" t="s">
        <v>904</v>
      </c>
      <c r="E25">
        <v>1</v>
      </c>
      <c r="F25">
        <v>0</v>
      </c>
      <c r="G25" t="s">
        <v>724</v>
      </c>
      <c r="H25" t="s">
        <v>721</v>
      </c>
      <c r="I25" t="s">
        <v>175</v>
      </c>
      <c r="J25" s="140">
        <v>45758</v>
      </c>
      <c r="R25" s="103">
        <v>46122</v>
      </c>
    </row>
    <row r="26" spans="1:18">
      <c r="A26" s="101" t="s">
        <v>1595</v>
      </c>
      <c r="C26" t="s">
        <v>160</v>
      </c>
      <c r="D26" t="s">
        <v>1596</v>
      </c>
      <c r="E26">
        <v>1</v>
      </c>
      <c r="F26">
        <v>0</v>
      </c>
      <c r="G26" t="s">
        <v>724</v>
      </c>
      <c r="H26" t="s">
        <v>721</v>
      </c>
      <c r="I26" t="s">
        <v>175</v>
      </c>
      <c r="J26" s="140">
        <v>45758</v>
      </c>
      <c r="R26" s="103">
        <v>46122</v>
      </c>
    </row>
    <row r="27" spans="1:18">
      <c r="A27" s="101" t="s">
        <v>1597</v>
      </c>
      <c r="C27" t="s">
        <v>160</v>
      </c>
      <c r="D27" t="s">
        <v>1598</v>
      </c>
      <c r="E27">
        <v>1</v>
      </c>
      <c r="F27">
        <v>0</v>
      </c>
      <c r="G27" t="s">
        <v>724</v>
      </c>
      <c r="H27" t="s">
        <v>721</v>
      </c>
      <c r="I27" t="s">
        <v>175</v>
      </c>
      <c r="J27" s="140">
        <v>45758</v>
      </c>
      <c r="R27" s="103">
        <v>46122</v>
      </c>
    </row>
    <row r="28" spans="1:18">
      <c r="A28" s="101" t="s">
        <v>1599</v>
      </c>
      <c r="C28" t="s">
        <v>160</v>
      </c>
      <c r="D28" t="s">
        <v>1600</v>
      </c>
      <c r="E28">
        <v>1</v>
      </c>
      <c r="F28">
        <v>0</v>
      </c>
      <c r="G28" t="s">
        <v>724</v>
      </c>
      <c r="H28" t="s">
        <v>721</v>
      </c>
      <c r="I28" t="s">
        <v>175</v>
      </c>
      <c r="J28" s="140">
        <v>45758</v>
      </c>
      <c r="R28" s="103">
        <v>46122</v>
      </c>
    </row>
    <row r="29" spans="1:18">
      <c r="A29" s="101" t="s">
        <v>1601</v>
      </c>
      <c r="C29" t="s">
        <v>160</v>
      </c>
      <c r="D29" s="128" t="s">
        <v>1602</v>
      </c>
      <c r="E29">
        <v>1</v>
      </c>
      <c r="F29">
        <v>0</v>
      </c>
      <c r="G29" t="s">
        <v>724</v>
      </c>
      <c r="H29" t="s">
        <v>721</v>
      </c>
      <c r="I29" t="s">
        <v>175</v>
      </c>
      <c r="J29" s="140">
        <v>45758</v>
      </c>
      <c r="R29" s="103">
        <v>46122</v>
      </c>
    </row>
    <row r="30" spans="1:18">
      <c r="A30" s="101" t="s">
        <v>1603</v>
      </c>
      <c r="C30" t="s">
        <v>160</v>
      </c>
      <c r="D30" t="s">
        <v>1604</v>
      </c>
      <c r="E30">
        <v>1</v>
      </c>
      <c r="F30">
        <v>0</v>
      </c>
      <c r="G30" t="s">
        <v>724</v>
      </c>
      <c r="H30" t="s">
        <v>721</v>
      </c>
      <c r="I30" t="s">
        <v>175</v>
      </c>
      <c r="J30" s="140">
        <v>45758</v>
      </c>
      <c r="R30" s="103">
        <v>46122</v>
      </c>
    </row>
    <row r="31" spans="1:18">
      <c r="A31" s="101" t="s">
        <v>1605</v>
      </c>
      <c r="C31" t="s">
        <v>160</v>
      </c>
      <c r="D31" t="s">
        <v>999</v>
      </c>
      <c r="E31">
        <v>1</v>
      </c>
      <c r="F31">
        <v>0</v>
      </c>
      <c r="G31" t="s">
        <v>724</v>
      </c>
      <c r="H31" t="s">
        <v>721</v>
      </c>
      <c r="I31" t="s">
        <v>175</v>
      </c>
      <c r="J31" s="140">
        <v>45758</v>
      </c>
      <c r="R31" s="103">
        <v>46122</v>
      </c>
    </row>
    <row r="32" spans="1:18">
      <c r="A32" s="101" t="s">
        <v>1606</v>
      </c>
      <c r="C32" t="s">
        <v>160</v>
      </c>
      <c r="D32" t="s">
        <v>1607</v>
      </c>
      <c r="E32">
        <v>1</v>
      </c>
      <c r="F32">
        <v>0</v>
      </c>
      <c r="G32" t="s">
        <v>724</v>
      </c>
      <c r="H32" t="s">
        <v>721</v>
      </c>
      <c r="I32" t="s">
        <v>175</v>
      </c>
      <c r="J32" s="140">
        <v>45758</v>
      </c>
      <c r="R32" s="103">
        <v>46122</v>
      </c>
    </row>
    <row r="33" spans="1:18">
      <c r="A33" s="101" t="s">
        <v>1608</v>
      </c>
      <c r="C33" t="s">
        <v>160</v>
      </c>
      <c r="D33" s="128" t="s">
        <v>1609</v>
      </c>
      <c r="E33">
        <v>1</v>
      </c>
      <c r="F33">
        <v>0</v>
      </c>
      <c r="G33" t="s">
        <v>724</v>
      </c>
      <c r="H33" t="s">
        <v>721</v>
      </c>
      <c r="I33" t="s">
        <v>175</v>
      </c>
      <c r="J33" s="140">
        <v>45758</v>
      </c>
      <c r="R33" s="103">
        <v>46122</v>
      </c>
    </row>
    <row r="34" spans="1:18">
      <c r="A34" s="101" t="s">
        <v>1610</v>
      </c>
      <c r="C34" t="s">
        <v>175</v>
      </c>
      <c r="D34" t="s">
        <v>501</v>
      </c>
      <c r="E34">
        <v>1</v>
      </c>
      <c r="F34">
        <v>0</v>
      </c>
      <c r="G34" t="s">
        <v>724</v>
      </c>
      <c r="H34" t="s">
        <v>721</v>
      </c>
      <c r="I34" t="s">
        <v>175</v>
      </c>
      <c r="J34" s="103">
        <v>45771</v>
      </c>
      <c r="R34" s="103">
        <v>46135</v>
      </c>
    </row>
    <row r="35" spans="1:18">
      <c r="A35" s="101" t="s">
        <v>1611</v>
      </c>
      <c r="C35" t="s">
        <v>325</v>
      </c>
      <c r="D35" t="s">
        <v>848</v>
      </c>
      <c r="E35">
        <v>1</v>
      </c>
      <c r="F35">
        <v>0</v>
      </c>
      <c r="G35" t="s">
        <v>724</v>
      </c>
      <c r="H35" t="s">
        <v>721</v>
      </c>
      <c r="I35" t="s">
        <v>175</v>
      </c>
      <c r="J35" s="103">
        <v>45771</v>
      </c>
      <c r="R35" s="103">
        <v>46135</v>
      </c>
    </row>
    <row r="36" spans="1:18">
      <c r="A36" s="101" t="s">
        <v>1612</v>
      </c>
      <c r="C36" t="s">
        <v>160</v>
      </c>
      <c r="D36" t="s">
        <v>1153</v>
      </c>
      <c r="E36">
        <v>1</v>
      </c>
      <c r="F36">
        <v>0</v>
      </c>
      <c r="G36" t="s">
        <v>724</v>
      </c>
      <c r="H36" t="s">
        <v>721</v>
      </c>
      <c r="I36" t="s">
        <v>175</v>
      </c>
      <c r="J36" s="103">
        <v>45766</v>
      </c>
      <c r="R36" s="103">
        <v>46130</v>
      </c>
    </row>
    <row r="37" spans="1:18">
      <c r="A37" s="101" t="s">
        <v>1613</v>
      </c>
      <c r="C37" t="s">
        <v>160</v>
      </c>
      <c r="D37" t="s">
        <v>1614</v>
      </c>
      <c r="E37">
        <v>1</v>
      </c>
      <c r="F37">
        <v>0</v>
      </c>
      <c r="G37" t="s">
        <v>724</v>
      </c>
      <c r="H37" t="s">
        <v>721</v>
      </c>
      <c r="I37" t="s">
        <v>1615</v>
      </c>
      <c r="J37" s="103">
        <v>45766</v>
      </c>
      <c r="R37" s="103">
        <v>46130</v>
      </c>
    </row>
    <row r="38" spans="1:18">
      <c r="A38" s="101" t="s">
        <v>1616</v>
      </c>
      <c r="C38" t="s">
        <v>160</v>
      </c>
      <c r="D38" t="s">
        <v>1617</v>
      </c>
      <c r="E38">
        <v>1</v>
      </c>
      <c r="F38">
        <v>0</v>
      </c>
      <c r="G38" t="s">
        <v>724</v>
      </c>
      <c r="H38" t="s">
        <v>721</v>
      </c>
      <c r="I38" t="s">
        <v>175</v>
      </c>
      <c r="J38" s="103">
        <v>45766</v>
      </c>
      <c r="R38" s="103">
        <v>46130</v>
      </c>
    </row>
    <row r="39" spans="1:18">
      <c r="A39" s="101" t="s">
        <v>1618</v>
      </c>
      <c r="C39" t="s">
        <v>349</v>
      </c>
      <c r="D39" t="s">
        <v>982</v>
      </c>
      <c r="E39">
        <v>1</v>
      </c>
      <c r="F39">
        <v>0</v>
      </c>
      <c r="G39" t="s">
        <v>724</v>
      </c>
      <c r="H39" t="s">
        <v>721</v>
      </c>
      <c r="I39" t="s">
        <v>175</v>
      </c>
      <c r="J39" s="103">
        <v>45766</v>
      </c>
      <c r="R39" s="103">
        <v>46130</v>
      </c>
    </row>
    <row r="40" spans="1:18">
      <c r="A40" s="101" t="s">
        <v>1619</v>
      </c>
      <c r="C40" t="s">
        <v>325</v>
      </c>
      <c r="D40" t="s">
        <v>1620</v>
      </c>
      <c r="E40">
        <v>1</v>
      </c>
      <c r="F40">
        <v>0</v>
      </c>
      <c r="G40" t="s">
        <v>724</v>
      </c>
      <c r="H40" t="s">
        <v>721</v>
      </c>
      <c r="I40" t="s">
        <v>175</v>
      </c>
      <c r="J40" s="103">
        <v>45771</v>
      </c>
      <c r="R40" s="103">
        <v>46135</v>
      </c>
    </row>
    <row r="41" spans="1:18">
      <c r="A41" s="101" t="s">
        <v>1621</v>
      </c>
      <c r="C41" t="s">
        <v>623</v>
      </c>
      <c r="D41" t="s">
        <v>1622</v>
      </c>
      <c r="E41">
        <v>1</v>
      </c>
      <c r="F41">
        <v>0</v>
      </c>
      <c r="G41" t="s">
        <v>724</v>
      </c>
      <c r="H41" t="s">
        <v>721</v>
      </c>
      <c r="I41" t="s">
        <v>175</v>
      </c>
      <c r="J41" s="103">
        <v>45766</v>
      </c>
      <c r="R41" s="103">
        <v>46130</v>
      </c>
    </row>
    <row r="42" spans="1:18">
      <c r="A42" s="101" t="s">
        <v>1623</v>
      </c>
      <c r="C42" t="s">
        <v>623</v>
      </c>
      <c r="D42" s="28" t="s">
        <v>1624</v>
      </c>
      <c r="E42">
        <v>1</v>
      </c>
      <c r="F42">
        <v>0</v>
      </c>
      <c r="G42" t="s">
        <v>724</v>
      </c>
      <c r="H42" t="s">
        <v>721</v>
      </c>
      <c r="I42" t="s">
        <v>175</v>
      </c>
      <c r="J42" s="103">
        <v>45766</v>
      </c>
      <c r="R42" s="103">
        <v>46130</v>
      </c>
    </row>
    <row r="43" spans="1:18">
      <c r="A43" s="101"/>
    </row>
    <row r="44" spans="1:18">
      <c r="A44" s="101"/>
    </row>
    <row r="45" spans="1:18">
      <c r="A45" s="101"/>
    </row>
    <row r="46" spans="1:18">
      <c r="A46" s="101"/>
    </row>
    <row r="47" spans="1:18">
      <c r="A47" s="101"/>
    </row>
    <row r="48" spans="1:18">
      <c r="A48" s="101"/>
    </row>
  </sheetData>
  <phoneticPr fontId="5" type="noConversion"/>
  <pageMargins left="0.7" right="0.7" top="0.75" bottom="0.75" header="0.3" footer="0.3"/>
  <pageSetup paperSize="9" orientation="portrait" horizontalDpi="0" verticalDpi="0"/>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DF6CC078-73FD-C841-996C-5C15B46FCCCC}">
          <x14:formula1>
            <xm:f>'Instructions and Definitions'!$G$66:$G$68</xm:f>
          </x14:formula1>
          <xm:sqref>H2:H86</xm:sqref>
        </x14:dataValidation>
        <x14:dataValidation type="list" allowBlank="1" showInputMessage="1" showErrorMessage="1" xr:uid="{9D4195A2-691B-814C-A610-A04B25272439}">
          <x14:formula1>
            <xm:f>'Instructions and Definitions'!$G$72:$G$74</xm:f>
          </x14:formula1>
          <xm:sqref>G2:G143</xm:sqref>
        </x14:dataValidation>
        <x14:dataValidation type="list" allowBlank="1" showInputMessage="1" showErrorMessage="1" xr:uid="{938B82DA-D911-3240-8DEB-845DD0B64F9D}">
          <x14:formula1>
            <xm:f>'Instructions and Definitions'!$G$22:$G$33</xm:f>
          </x14:formula1>
          <xm:sqref>C2:C106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16DA5-A7DB-483D-B3B2-EBE048BEA53F}">
  <sheetPr codeName="Sheet32">
    <tabColor rgb="FF92D050"/>
  </sheetPr>
  <dimension ref="A1:M16"/>
  <sheetViews>
    <sheetView workbookViewId="0">
      <selection activeCell="A2" sqref="A2:M2"/>
    </sheetView>
  </sheetViews>
  <sheetFormatPr defaultColWidth="8.85546875" defaultRowHeight="15"/>
  <cols>
    <col min="1" max="1" width="35.42578125" customWidth="1"/>
    <col min="2" max="2" width="28.42578125" customWidth="1"/>
    <col min="3" max="3" width="13.28515625" customWidth="1"/>
    <col min="4" max="4" width="28.42578125" customWidth="1"/>
    <col min="5" max="5" width="19.85546875" customWidth="1"/>
    <col min="6" max="6" width="10.85546875" customWidth="1"/>
    <col min="7" max="7" width="20.140625" customWidth="1"/>
    <col min="8" max="8" width="16.7109375" customWidth="1"/>
    <col min="10" max="10" width="16.28515625" customWidth="1"/>
    <col min="12" max="12" width="16.85546875" customWidth="1"/>
    <col min="13" max="13" width="16.42578125" customWidth="1"/>
  </cols>
  <sheetData>
    <row r="1" spans="1:13">
      <c r="A1" s="33" t="s">
        <v>1625</v>
      </c>
    </row>
    <row r="2" spans="1:13" s="1" customFormat="1">
      <c r="A2" s="1" t="s">
        <v>1626</v>
      </c>
      <c r="B2" s="1" t="s">
        <v>1627</v>
      </c>
      <c r="C2" s="1" t="s">
        <v>1628</v>
      </c>
      <c r="D2" s="1" t="s">
        <v>1629</v>
      </c>
      <c r="E2" s="1" t="s">
        <v>1630</v>
      </c>
      <c r="F2" s="1" t="s">
        <v>1631</v>
      </c>
      <c r="G2" s="1" t="s">
        <v>1632</v>
      </c>
      <c r="H2" s="1" t="s">
        <v>1633</v>
      </c>
      <c r="I2" s="1" t="s">
        <v>821</v>
      </c>
      <c r="J2" s="1" t="s">
        <v>1634</v>
      </c>
      <c r="K2" s="1" t="s">
        <v>1270</v>
      </c>
      <c r="L2" s="1" t="s">
        <v>1635</v>
      </c>
      <c r="M2" s="1" t="s">
        <v>320</v>
      </c>
    </row>
    <row r="3" spans="1:13" ht="66" customHeight="1">
      <c r="A3" s="28" t="s">
        <v>1636</v>
      </c>
      <c r="B3" s="28" t="s">
        <v>1637</v>
      </c>
      <c r="C3" s="28" t="s">
        <v>1638</v>
      </c>
      <c r="D3" s="28" t="s">
        <v>1639</v>
      </c>
      <c r="E3" s="28" t="s">
        <v>1640</v>
      </c>
      <c r="F3" s="28" t="s">
        <v>1641</v>
      </c>
      <c r="G3" s="28" t="s">
        <v>1642</v>
      </c>
      <c r="H3" s="28" t="s">
        <v>1643</v>
      </c>
      <c r="I3" s="28"/>
      <c r="J3" s="28" t="s">
        <v>1644</v>
      </c>
      <c r="K3" s="28" t="s">
        <v>169</v>
      </c>
      <c r="L3" s="253">
        <v>45808</v>
      </c>
      <c r="M3" s="253">
        <v>45838</v>
      </c>
    </row>
    <row r="4" spans="1:13" ht="76.5">
      <c r="A4" s="28" t="s">
        <v>1645</v>
      </c>
      <c r="B4" s="28" t="s">
        <v>1637</v>
      </c>
      <c r="C4" s="28" t="s">
        <v>1638</v>
      </c>
      <c r="D4" s="28" t="s">
        <v>1639</v>
      </c>
      <c r="E4" s="28" t="s">
        <v>1640</v>
      </c>
      <c r="F4" s="28" t="s">
        <v>1641</v>
      </c>
      <c r="G4" s="28" t="s">
        <v>1642</v>
      </c>
      <c r="H4" s="28" t="s">
        <v>1643</v>
      </c>
      <c r="J4" s="28" t="s">
        <v>1644</v>
      </c>
      <c r="K4" s="28" t="s">
        <v>169</v>
      </c>
      <c r="L4" s="103">
        <v>45838</v>
      </c>
      <c r="M4" s="103">
        <v>45869</v>
      </c>
    </row>
    <row r="5" spans="1:13" ht="76.5">
      <c r="A5" s="28" t="s">
        <v>1646</v>
      </c>
      <c r="B5" s="28" t="s">
        <v>1637</v>
      </c>
      <c r="C5" s="28" t="s">
        <v>1638</v>
      </c>
      <c r="D5" s="28" t="s">
        <v>1639</v>
      </c>
      <c r="E5" s="28" t="s">
        <v>1640</v>
      </c>
      <c r="F5" s="28" t="s">
        <v>1641</v>
      </c>
      <c r="G5" s="28" t="s">
        <v>1642</v>
      </c>
      <c r="H5" s="28" t="s">
        <v>1643</v>
      </c>
      <c r="J5" s="28" t="s">
        <v>1644</v>
      </c>
      <c r="K5" s="28" t="s">
        <v>169</v>
      </c>
      <c r="L5" s="103">
        <v>45869</v>
      </c>
      <c r="M5" s="103">
        <v>45900</v>
      </c>
    </row>
    <row r="6" spans="1:13" ht="76.5">
      <c r="A6" s="28" t="s">
        <v>1647</v>
      </c>
      <c r="B6" s="28" t="s">
        <v>1637</v>
      </c>
      <c r="C6" s="28" t="s">
        <v>1638</v>
      </c>
      <c r="D6" s="28" t="s">
        <v>1639</v>
      </c>
      <c r="E6" s="28" t="s">
        <v>1640</v>
      </c>
      <c r="F6" s="28" t="s">
        <v>1641</v>
      </c>
      <c r="G6" s="28" t="s">
        <v>1642</v>
      </c>
      <c r="H6" s="28" t="s">
        <v>1643</v>
      </c>
      <c r="J6" s="28" t="s">
        <v>1644</v>
      </c>
      <c r="K6" s="28" t="s">
        <v>169</v>
      </c>
      <c r="L6" s="103">
        <v>45900</v>
      </c>
      <c r="M6" s="103">
        <v>45930</v>
      </c>
    </row>
    <row r="14" spans="1:13">
      <c r="A14" t="s">
        <v>1648</v>
      </c>
    </row>
    <row r="16" spans="1:13" ht="107.25" customHeight="1">
      <c r="A16" s="28" t="s">
        <v>1649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7C36-6A37-0B4D-BAD2-700DFB6D0160}">
  <sheetPr codeName="Sheet18"/>
  <dimension ref="A1:I54"/>
  <sheetViews>
    <sheetView tabSelected="1" workbookViewId="0">
      <pane ySplit="1" topLeftCell="A27" activePane="bottomLeft" state="frozen"/>
      <selection pane="bottomLeft" activeCell="A36" sqref="A36"/>
    </sheetView>
  </sheetViews>
  <sheetFormatPr defaultColWidth="11.42578125" defaultRowHeight="15"/>
  <cols>
    <col min="1" max="1" width="12.140625" customWidth="1"/>
    <col min="2" max="2" width="11" bestFit="1" customWidth="1"/>
    <col min="3" max="3" width="11.85546875" bestFit="1" customWidth="1"/>
    <col min="4" max="4" width="21.7109375" customWidth="1"/>
    <col min="5" max="5" width="25.85546875" bestFit="1" customWidth="1"/>
    <col min="6" max="6" width="25.140625" bestFit="1" customWidth="1"/>
    <col min="7" max="7" width="19.85546875" customWidth="1"/>
    <col min="8" max="8" width="17.7109375" customWidth="1"/>
    <col min="28" max="28" width="8.7109375" bestFit="1" customWidth="1"/>
  </cols>
  <sheetData>
    <row r="1" spans="1:9" ht="30.75">
      <c r="A1" s="1" t="s">
        <v>318</v>
      </c>
      <c r="B1" s="1" t="s">
        <v>1650</v>
      </c>
      <c r="C1" s="1" t="s">
        <v>1651</v>
      </c>
      <c r="D1" s="1" t="s">
        <v>1652</v>
      </c>
      <c r="E1" s="1" t="s">
        <v>1653</v>
      </c>
      <c r="F1" s="1" t="s">
        <v>1654</v>
      </c>
      <c r="G1" s="1" t="s">
        <v>1655</v>
      </c>
      <c r="H1" s="30" t="s">
        <v>1656</v>
      </c>
      <c r="I1" s="1" t="s">
        <v>1270</v>
      </c>
    </row>
    <row r="2" spans="1:9">
      <c r="A2" s="103" t="s">
        <v>1657</v>
      </c>
      <c r="B2" t="s">
        <v>1658</v>
      </c>
      <c r="C2" t="s">
        <v>1659</v>
      </c>
      <c r="D2" t="s">
        <v>1660</v>
      </c>
      <c r="E2" t="s">
        <v>1661</v>
      </c>
      <c r="F2" t="s">
        <v>1644</v>
      </c>
      <c r="G2" t="s">
        <v>323</v>
      </c>
      <c r="H2" s="300">
        <v>45925</v>
      </c>
    </row>
    <row r="3" spans="1:9">
      <c r="A3" s="103" t="s">
        <v>1657</v>
      </c>
      <c r="B3" t="s">
        <v>1658</v>
      </c>
      <c r="C3" t="s">
        <v>1662</v>
      </c>
      <c r="D3" t="s">
        <v>1663</v>
      </c>
      <c r="E3" t="s">
        <v>1661</v>
      </c>
      <c r="F3" t="s">
        <v>1644</v>
      </c>
      <c r="G3" t="s">
        <v>323</v>
      </c>
      <c r="H3" s="300">
        <v>45925</v>
      </c>
    </row>
    <row r="4" spans="1:9" ht="30.75">
      <c r="A4" s="103" t="s">
        <v>1657</v>
      </c>
      <c r="B4" t="s">
        <v>194</v>
      </c>
      <c r="C4" t="s">
        <v>1659</v>
      </c>
      <c r="D4" s="28" t="s">
        <v>1664</v>
      </c>
      <c r="E4" t="s">
        <v>1661</v>
      </c>
      <c r="F4" t="s">
        <v>1644</v>
      </c>
      <c r="G4" t="s">
        <v>323</v>
      </c>
      <c r="H4" s="300">
        <v>45925</v>
      </c>
    </row>
    <row r="5" spans="1:9">
      <c r="A5" s="103" t="s">
        <v>1657</v>
      </c>
      <c r="B5" t="s">
        <v>194</v>
      </c>
      <c r="C5" t="s">
        <v>1662</v>
      </c>
      <c r="D5" t="s">
        <v>1665</v>
      </c>
      <c r="E5" t="s">
        <v>1661</v>
      </c>
      <c r="F5" t="s">
        <v>1644</v>
      </c>
      <c r="G5" t="s">
        <v>323</v>
      </c>
      <c r="H5" s="300">
        <v>45925</v>
      </c>
    </row>
    <row r="6" spans="1:9">
      <c r="A6" s="103" t="s">
        <v>1657</v>
      </c>
      <c r="B6" t="s">
        <v>221</v>
      </c>
      <c r="C6" t="s">
        <v>1659</v>
      </c>
      <c r="D6" t="s">
        <v>1666</v>
      </c>
      <c r="E6" t="s">
        <v>1661</v>
      </c>
      <c r="F6" t="s">
        <v>1644</v>
      </c>
      <c r="G6" t="s">
        <v>323</v>
      </c>
      <c r="H6" s="300">
        <v>45925</v>
      </c>
    </row>
    <row r="7" spans="1:9">
      <c r="A7" s="103" t="s">
        <v>1657</v>
      </c>
      <c r="B7" t="s">
        <v>221</v>
      </c>
      <c r="C7" t="s">
        <v>1662</v>
      </c>
      <c r="D7" t="s">
        <v>1667</v>
      </c>
      <c r="E7" t="s">
        <v>1661</v>
      </c>
      <c r="F7" t="s">
        <v>1644</v>
      </c>
      <c r="G7" t="s">
        <v>323</v>
      </c>
      <c r="H7" s="300">
        <v>45925</v>
      </c>
    </row>
    <row r="8" spans="1:9">
      <c r="A8" s="103" t="s">
        <v>1657</v>
      </c>
      <c r="B8" t="s">
        <v>1668</v>
      </c>
      <c r="C8" t="s">
        <v>1662</v>
      </c>
      <c r="D8" t="s">
        <v>1669</v>
      </c>
      <c r="E8" t="s">
        <v>1661</v>
      </c>
      <c r="F8" t="s">
        <v>1644</v>
      </c>
      <c r="G8" t="s">
        <v>323</v>
      </c>
      <c r="H8" s="300">
        <v>45925</v>
      </c>
    </row>
    <row r="9" spans="1:9" ht="30.75">
      <c r="A9" s="103" t="s">
        <v>1657</v>
      </c>
      <c r="B9" t="s">
        <v>1668</v>
      </c>
      <c r="C9" t="s">
        <v>1659</v>
      </c>
      <c r="D9" s="28" t="s">
        <v>1670</v>
      </c>
      <c r="E9" t="s">
        <v>1661</v>
      </c>
      <c r="F9" t="s">
        <v>1644</v>
      </c>
      <c r="G9" t="s">
        <v>323</v>
      </c>
      <c r="H9" s="300">
        <v>45925</v>
      </c>
    </row>
    <row r="10" spans="1:9">
      <c r="A10" s="103" t="s">
        <v>1657</v>
      </c>
      <c r="B10" t="s">
        <v>1671</v>
      </c>
      <c r="C10" t="s">
        <v>1662</v>
      </c>
      <c r="D10" t="s">
        <v>1672</v>
      </c>
      <c r="E10" t="s">
        <v>1661</v>
      </c>
      <c r="F10" t="s">
        <v>1644</v>
      </c>
      <c r="G10" t="s">
        <v>323</v>
      </c>
      <c r="H10" s="300">
        <v>45925</v>
      </c>
    </row>
    <row r="11" spans="1:9">
      <c r="A11" s="103" t="s">
        <v>1657</v>
      </c>
      <c r="B11" t="s">
        <v>1671</v>
      </c>
      <c r="C11" t="s">
        <v>1659</v>
      </c>
      <c r="D11" t="s">
        <v>1673</v>
      </c>
      <c r="E11" t="s">
        <v>1661</v>
      </c>
      <c r="F11" t="s">
        <v>1644</v>
      </c>
      <c r="G11" t="s">
        <v>323</v>
      </c>
      <c r="H11" s="300">
        <v>45925</v>
      </c>
    </row>
    <row r="12" spans="1:9">
      <c r="A12" s="103" t="s">
        <v>1657</v>
      </c>
      <c r="B12" t="s">
        <v>1674</v>
      </c>
      <c r="C12" t="s">
        <v>1662</v>
      </c>
      <c r="D12" t="s">
        <v>1663</v>
      </c>
      <c r="E12" t="s">
        <v>1661</v>
      </c>
      <c r="F12" t="s">
        <v>1644</v>
      </c>
      <c r="G12" t="s">
        <v>323</v>
      </c>
      <c r="H12" s="300">
        <v>45925</v>
      </c>
    </row>
    <row r="13" spans="1:9">
      <c r="A13" s="301" t="s">
        <v>1657</v>
      </c>
      <c r="B13" s="302" t="s">
        <v>1674</v>
      </c>
      <c r="C13" s="302" t="s">
        <v>1659</v>
      </c>
      <c r="D13" s="302" t="s">
        <v>1675</v>
      </c>
      <c r="E13" s="302" t="s">
        <v>1661</v>
      </c>
      <c r="F13" s="302" t="s">
        <v>1644</v>
      </c>
      <c r="G13" s="302" t="s">
        <v>323</v>
      </c>
      <c r="H13" s="303">
        <v>45925</v>
      </c>
    </row>
    <row r="14" spans="1:9">
      <c r="A14" t="s">
        <v>1676</v>
      </c>
      <c r="B14" t="s">
        <v>1658</v>
      </c>
      <c r="C14" t="s">
        <v>1659</v>
      </c>
      <c r="D14" t="s">
        <v>1660</v>
      </c>
      <c r="E14" t="s">
        <v>1661</v>
      </c>
      <c r="F14" t="s">
        <v>1644</v>
      </c>
      <c r="G14" t="s">
        <v>323</v>
      </c>
      <c r="H14" s="300">
        <v>46016</v>
      </c>
    </row>
    <row r="15" spans="1:9">
      <c r="A15" t="s">
        <v>1676</v>
      </c>
      <c r="B15" t="s">
        <v>1658</v>
      </c>
      <c r="C15" t="s">
        <v>1662</v>
      </c>
      <c r="D15" t="s">
        <v>1663</v>
      </c>
      <c r="E15" t="s">
        <v>1661</v>
      </c>
      <c r="F15" t="s">
        <v>1644</v>
      </c>
      <c r="G15" t="s">
        <v>323</v>
      </c>
      <c r="H15" s="300">
        <v>46016</v>
      </c>
    </row>
    <row r="16" spans="1:9" ht="30.75">
      <c r="A16" t="s">
        <v>1676</v>
      </c>
      <c r="B16" t="s">
        <v>194</v>
      </c>
      <c r="C16" t="s">
        <v>1659</v>
      </c>
      <c r="D16" s="28" t="s">
        <v>1664</v>
      </c>
      <c r="E16" t="s">
        <v>1661</v>
      </c>
      <c r="F16" t="s">
        <v>1644</v>
      </c>
      <c r="G16" t="s">
        <v>323</v>
      </c>
      <c r="H16" s="300">
        <v>46016</v>
      </c>
    </row>
    <row r="17" spans="1:8">
      <c r="A17" t="s">
        <v>1676</v>
      </c>
      <c r="B17" t="s">
        <v>194</v>
      </c>
      <c r="C17" t="s">
        <v>1662</v>
      </c>
      <c r="D17" t="s">
        <v>1665</v>
      </c>
      <c r="E17" t="s">
        <v>1661</v>
      </c>
      <c r="F17" t="s">
        <v>1644</v>
      </c>
      <c r="G17" t="s">
        <v>323</v>
      </c>
      <c r="H17" s="300">
        <v>46017</v>
      </c>
    </row>
    <row r="18" spans="1:8">
      <c r="A18" t="s">
        <v>1676</v>
      </c>
      <c r="B18" t="s">
        <v>221</v>
      </c>
      <c r="C18" t="s">
        <v>1659</v>
      </c>
      <c r="D18" t="s">
        <v>1666</v>
      </c>
      <c r="E18" t="s">
        <v>1661</v>
      </c>
      <c r="F18" t="s">
        <v>1644</v>
      </c>
      <c r="G18" t="s">
        <v>323</v>
      </c>
      <c r="H18" s="300">
        <v>46018</v>
      </c>
    </row>
    <row r="19" spans="1:8">
      <c r="A19" t="s">
        <v>1676</v>
      </c>
      <c r="B19" t="s">
        <v>221</v>
      </c>
      <c r="C19" t="s">
        <v>1662</v>
      </c>
      <c r="D19" t="s">
        <v>1667</v>
      </c>
      <c r="E19" t="s">
        <v>1661</v>
      </c>
      <c r="F19" t="s">
        <v>1644</v>
      </c>
      <c r="G19" t="s">
        <v>323</v>
      </c>
      <c r="H19" s="300">
        <v>46019</v>
      </c>
    </row>
    <row r="20" spans="1:8">
      <c r="A20" t="s">
        <v>1676</v>
      </c>
      <c r="B20" t="s">
        <v>1668</v>
      </c>
      <c r="C20" t="s">
        <v>1662</v>
      </c>
      <c r="D20" t="s">
        <v>1669</v>
      </c>
      <c r="E20" t="s">
        <v>1661</v>
      </c>
      <c r="F20" t="s">
        <v>1644</v>
      </c>
      <c r="G20" t="s">
        <v>323</v>
      </c>
      <c r="H20" s="300">
        <v>46020</v>
      </c>
    </row>
    <row r="21" spans="1:8" ht="30.75">
      <c r="A21" t="s">
        <v>1676</v>
      </c>
      <c r="B21" t="s">
        <v>1668</v>
      </c>
      <c r="C21" t="s">
        <v>1659</v>
      </c>
      <c r="D21" s="28" t="s">
        <v>1670</v>
      </c>
      <c r="E21" t="s">
        <v>1661</v>
      </c>
      <c r="F21" t="s">
        <v>1644</v>
      </c>
      <c r="G21" t="s">
        <v>323</v>
      </c>
      <c r="H21" s="300">
        <v>46021</v>
      </c>
    </row>
    <row r="22" spans="1:8">
      <c r="A22" t="s">
        <v>1676</v>
      </c>
      <c r="B22" t="s">
        <v>1671</v>
      </c>
      <c r="C22" t="s">
        <v>1662</v>
      </c>
      <c r="D22" t="s">
        <v>1672</v>
      </c>
      <c r="E22" t="s">
        <v>1661</v>
      </c>
      <c r="F22" t="s">
        <v>1644</v>
      </c>
      <c r="G22" t="s">
        <v>323</v>
      </c>
      <c r="H22" s="300">
        <v>46022</v>
      </c>
    </row>
    <row r="23" spans="1:8">
      <c r="A23" t="s">
        <v>1676</v>
      </c>
      <c r="B23" t="s">
        <v>1671</v>
      </c>
      <c r="C23" t="s">
        <v>1659</v>
      </c>
      <c r="D23" t="s">
        <v>1673</v>
      </c>
      <c r="E23" t="s">
        <v>1661</v>
      </c>
      <c r="F23" t="s">
        <v>1644</v>
      </c>
      <c r="G23" t="s">
        <v>323</v>
      </c>
      <c r="H23" s="300">
        <v>46022</v>
      </c>
    </row>
    <row r="24" spans="1:8">
      <c r="A24" t="s">
        <v>1676</v>
      </c>
      <c r="B24" t="s">
        <v>1674</v>
      </c>
      <c r="C24" t="s">
        <v>1662</v>
      </c>
      <c r="D24" t="s">
        <v>1663</v>
      </c>
      <c r="E24" t="s">
        <v>1661</v>
      </c>
      <c r="F24" t="s">
        <v>1644</v>
      </c>
      <c r="G24" t="s">
        <v>323</v>
      </c>
      <c r="H24" s="300">
        <v>46022</v>
      </c>
    </row>
    <row r="25" spans="1:8">
      <c r="A25" s="302" t="s">
        <v>1676</v>
      </c>
      <c r="B25" s="302" t="s">
        <v>1674</v>
      </c>
      <c r="C25" s="302" t="s">
        <v>1659</v>
      </c>
      <c r="D25" s="302" t="s">
        <v>1675</v>
      </c>
      <c r="E25" s="302" t="s">
        <v>1661</v>
      </c>
      <c r="F25" s="302" t="s">
        <v>1644</v>
      </c>
      <c r="G25" s="302" t="s">
        <v>323</v>
      </c>
      <c r="H25" s="303">
        <v>46022</v>
      </c>
    </row>
    <row r="26" spans="1:8">
      <c r="A26" t="s">
        <v>1677</v>
      </c>
      <c r="B26" t="s">
        <v>1658</v>
      </c>
      <c r="C26" t="s">
        <v>1662</v>
      </c>
      <c r="D26" t="s">
        <v>1678</v>
      </c>
      <c r="E26" t="s">
        <v>1661</v>
      </c>
      <c r="F26" t="s">
        <v>1644</v>
      </c>
      <c r="G26" t="s">
        <v>323</v>
      </c>
      <c r="H26" s="300">
        <v>46082</v>
      </c>
    </row>
    <row r="27" spans="1:8">
      <c r="A27" t="s">
        <v>1677</v>
      </c>
      <c r="B27" t="s">
        <v>1679</v>
      </c>
      <c r="C27" t="s">
        <v>1659</v>
      </c>
      <c r="D27" t="s">
        <v>1680</v>
      </c>
      <c r="E27" t="s">
        <v>1661</v>
      </c>
      <c r="F27" t="s">
        <v>1644</v>
      </c>
      <c r="G27" t="s">
        <v>323</v>
      </c>
      <c r="H27" s="300">
        <v>46082</v>
      </c>
    </row>
    <row r="28" spans="1:8">
      <c r="A28" t="s">
        <v>1677</v>
      </c>
      <c r="B28" t="s">
        <v>1668</v>
      </c>
      <c r="C28" t="s">
        <v>1662</v>
      </c>
      <c r="D28" t="s">
        <v>1681</v>
      </c>
      <c r="E28" t="s">
        <v>1661</v>
      </c>
      <c r="F28" t="s">
        <v>1644</v>
      </c>
      <c r="G28" t="s">
        <v>323</v>
      </c>
      <c r="H28" s="300">
        <v>46082</v>
      </c>
    </row>
    <row r="29" spans="1:8">
      <c r="A29" t="s">
        <v>1677</v>
      </c>
      <c r="B29" t="s">
        <v>1668</v>
      </c>
      <c r="C29" t="s">
        <v>1659</v>
      </c>
      <c r="D29" t="s">
        <v>1682</v>
      </c>
      <c r="E29" t="s">
        <v>1661</v>
      </c>
      <c r="F29" t="s">
        <v>1644</v>
      </c>
      <c r="G29" t="s">
        <v>323</v>
      </c>
      <c r="H29" s="300">
        <v>46082</v>
      </c>
    </row>
    <row r="30" spans="1:8">
      <c r="A30" t="s">
        <v>1677</v>
      </c>
      <c r="B30" t="s">
        <v>194</v>
      </c>
      <c r="C30" t="s">
        <v>1662</v>
      </c>
      <c r="D30" t="s">
        <v>1665</v>
      </c>
      <c r="E30" t="s">
        <v>1661</v>
      </c>
      <c r="F30" t="s">
        <v>1644</v>
      </c>
      <c r="G30" t="s">
        <v>323</v>
      </c>
      <c r="H30" s="300">
        <v>46082</v>
      </c>
    </row>
    <row r="31" spans="1:8">
      <c r="A31" t="s">
        <v>1677</v>
      </c>
      <c r="B31" t="s">
        <v>194</v>
      </c>
      <c r="C31" t="s">
        <v>1659</v>
      </c>
      <c r="D31" t="s">
        <v>1664</v>
      </c>
      <c r="E31" t="s">
        <v>1661</v>
      </c>
      <c r="F31" t="s">
        <v>1644</v>
      </c>
      <c r="G31" t="s">
        <v>323</v>
      </c>
      <c r="H31" s="300">
        <v>46082</v>
      </c>
    </row>
    <row r="32" spans="1:8">
      <c r="A32" t="s">
        <v>1677</v>
      </c>
      <c r="B32" t="s">
        <v>1674</v>
      </c>
      <c r="C32" t="s">
        <v>1662</v>
      </c>
      <c r="D32" t="s">
        <v>1683</v>
      </c>
      <c r="E32" t="s">
        <v>1661</v>
      </c>
      <c r="F32" t="s">
        <v>1644</v>
      </c>
      <c r="G32" t="s">
        <v>323</v>
      </c>
      <c r="H32" s="300">
        <v>46082</v>
      </c>
    </row>
    <row r="33" spans="1:8">
      <c r="A33" t="s">
        <v>1677</v>
      </c>
      <c r="B33" t="s">
        <v>1674</v>
      </c>
      <c r="C33" t="s">
        <v>1659</v>
      </c>
      <c r="D33" t="s">
        <v>1683</v>
      </c>
      <c r="E33" t="s">
        <v>1661</v>
      </c>
      <c r="F33" t="s">
        <v>1644</v>
      </c>
      <c r="G33" t="s">
        <v>323</v>
      </c>
      <c r="H33" s="300">
        <v>46082</v>
      </c>
    </row>
    <row r="34" spans="1:8">
      <c r="A34" t="s">
        <v>1677</v>
      </c>
      <c r="B34" t="s">
        <v>221</v>
      </c>
      <c r="C34" t="s">
        <v>1662</v>
      </c>
      <c r="D34" t="s">
        <v>1684</v>
      </c>
      <c r="E34" t="s">
        <v>1661</v>
      </c>
      <c r="F34" t="s">
        <v>1644</v>
      </c>
      <c r="G34" t="s">
        <v>1685</v>
      </c>
      <c r="H34" s="300">
        <v>46082</v>
      </c>
    </row>
    <row r="35" spans="1:8">
      <c r="A35" t="s">
        <v>1677</v>
      </c>
      <c r="B35" t="s">
        <v>221</v>
      </c>
      <c r="C35" t="s">
        <v>1659</v>
      </c>
      <c r="D35" t="s">
        <v>1686</v>
      </c>
      <c r="E35" t="s">
        <v>1661</v>
      </c>
      <c r="F35" t="s">
        <v>1644</v>
      </c>
      <c r="G35" t="s">
        <v>323</v>
      </c>
      <c r="H35" s="300">
        <v>46082</v>
      </c>
    </row>
    <row r="36" spans="1:8">
      <c r="A36" t="s">
        <v>1677</v>
      </c>
      <c r="B36" t="s">
        <v>1687</v>
      </c>
      <c r="C36" t="s">
        <v>1662</v>
      </c>
      <c r="D36" t="s">
        <v>1684</v>
      </c>
      <c r="E36" t="s">
        <v>1661</v>
      </c>
      <c r="F36" t="s">
        <v>1644</v>
      </c>
      <c r="G36" t="s">
        <v>323</v>
      </c>
      <c r="H36" s="300">
        <v>46085</v>
      </c>
    </row>
    <row r="37" spans="1:8">
      <c r="A37" t="s">
        <v>1677</v>
      </c>
      <c r="B37" t="s">
        <v>1687</v>
      </c>
      <c r="C37" t="s">
        <v>1659</v>
      </c>
      <c r="D37" t="s">
        <v>1688</v>
      </c>
      <c r="E37" t="s">
        <v>1661</v>
      </c>
      <c r="F37" t="s">
        <v>1644</v>
      </c>
      <c r="G37" t="s">
        <v>323</v>
      </c>
      <c r="H37" s="300">
        <v>46086</v>
      </c>
    </row>
    <row r="38" spans="1:8">
      <c r="A38" t="s">
        <v>1677</v>
      </c>
      <c r="B38" t="s">
        <v>1689</v>
      </c>
      <c r="C38" t="s">
        <v>1662</v>
      </c>
      <c r="D38" t="s">
        <v>1690</v>
      </c>
      <c r="E38" t="s">
        <v>1661</v>
      </c>
      <c r="F38" t="s">
        <v>1644</v>
      </c>
      <c r="G38" t="s">
        <v>323</v>
      </c>
      <c r="H38" s="300">
        <v>46107</v>
      </c>
    </row>
    <row r="39" spans="1:8">
      <c r="A39" t="s">
        <v>1677</v>
      </c>
      <c r="B39" t="s">
        <v>1689</v>
      </c>
      <c r="C39" t="s">
        <v>1659</v>
      </c>
      <c r="D39" t="s">
        <v>1691</v>
      </c>
      <c r="E39" t="s">
        <v>1661</v>
      </c>
      <c r="F39" t="s">
        <v>1644</v>
      </c>
      <c r="G39" t="s">
        <v>323</v>
      </c>
      <c r="H39" s="300">
        <v>46107</v>
      </c>
    </row>
    <row r="40" spans="1:8">
      <c r="H40" s="300"/>
    </row>
    <row r="41" spans="1:8">
      <c r="H41" s="300"/>
    </row>
    <row r="42" spans="1:8">
      <c r="H42" s="300"/>
    </row>
    <row r="43" spans="1:8">
      <c r="H43" s="300"/>
    </row>
    <row r="44" spans="1:8">
      <c r="H44" s="300"/>
    </row>
    <row r="45" spans="1:8">
      <c r="H45" s="300"/>
    </row>
    <row r="46" spans="1:8">
      <c r="H46" s="300"/>
    </row>
    <row r="47" spans="1:8">
      <c r="H47" s="300"/>
    </row>
    <row r="48" spans="1:8">
      <c r="H48" s="300"/>
    </row>
    <row r="49" spans="8:8">
      <c r="H49" s="300"/>
    </row>
    <row r="50" spans="8:8">
      <c r="H50" s="300"/>
    </row>
    <row r="51" spans="8:8">
      <c r="H51" s="300"/>
    </row>
    <row r="52" spans="8:8">
      <c r="H52" s="300"/>
    </row>
    <row r="53" spans="8:8">
      <c r="H53" s="300"/>
    </row>
    <row r="54" spans="8:8">
      <c r="H54" s="300"/>
    </row>
  </sheetData>
  <autoFilter ref="B1:I13" xr:uid="{F9617C36-6A37-0B4D-BAD2-700DFB6D0160}"/>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D8738-3377-6040-82E7-924512579D07}">
  <sheetPr codeName="Sheet19"/>
  <dimension ref="A1:F32"/>
  <sheetViews>
    <sheetView topLeftCell="A11" zoomScale="125" workbookViewId="0">
      <selection activeCell="G31" sqref="G31"/>
    </sheetView>
  </sheetViews>
  <sheetFormatPr defaultColWidth="84.42578125" defaultRowHeight="15"/>
  <cols>
    <col min="1" max="1" width="6.140625" bestFit="1" customWidth="1"/>
    <col min="2" max="2" width="86.7109375" bestFit="1" customWidth="1"/>
    <col min="3" max="3" width="31.140625" bestFit="1" customWidth="1"/>
    <col min="4" max="4" width="13.42578125" bestFit="1" customWidth="1"/>
    <col min="5" max="5" width="11.42578125" bestFit="1" customWidth="1"/>
    <col min="6" max="6" width="5.85546875" bestFit="1" customWidth="1"/>
  </cols>
  <sheetData>
    <row r="1" spans="1:6" s="1" customFormat="1">
      <c r="A1" s="1" t="s">
        <v>1154</v>
      </c>
      <c r="B1" s="1" t="s">
        <v>1208</v>
      </c>
      <c r="C1" s="1" t="s">
        <v>1155</v>
      </c>
      <c r="D1" s="1" t="s">
        <v>1692</v>
      </c>
      <c r="E1" s="1" t="s">
        <v>1631</v>
      </c>
      <c r="F1" s="1" t="s">
        <v>821</v>
      </c>
    </row>
    <row r="2" spans="1:6">
      <c r="A2" t="str" cm="1">
        <f t="array" ref="A2:A32">'Risk Register'!B2:B32</f>
        <v>R001</v>
      </c>
      <c r="B2" t="str" cm="1">
        <f t="array" ref="B2:B32">'Risk Register'!E2:E32</f>
        <v>Unauthorized access to sensitive client information. (Client Data Contacts)</v>
      </c>
      <c r="C2" t="str" cm="1">
        <f t="array" ref="C2:C32">'Risk Register'!D2:D32</f>
        <v>Clients/Customers (external)</v>
      </c>
      <c r="D2" t="s">
        <v>1693</v>
      </c>
      <c r="E2" t="s">
        <v>1694</v>
      </c>
    </row>
    <row r="3" spans="1:6">
      <c r="A3" t="str">
        <v>R002</v>
      </c>
      <c r="B3" t="str">
        <v>Social engineering attacks (eg, phishing targeting employees with access). (Client Data Contacts)</v>
      </c>
      <c r="C3" t="str">
        <v>ISMS Roles (internal)</v>
      </c>
      <c r="D3" t="s">
        <v>1693</v>
      </c>
      <c r="E3" t="s">
        <v>1694</v>
      </c>
    </row>
    <row r="4" spans="1:6">
      <c r="A4" t="str">
        <v>R003</v>
      </c>
      <c r="B4" t="str">
        <v>Denial of Service (DoS) attacks that make the training environment unavailable. (Training VMs in Azure)</v>
      </c>
      <c r="C4" t="str">
        <v>ISMS Roles (internal)</v>
      </c>
      <c r="D4" t="s">
        <v>1693</v>
      </c>
      <c r="E4" t="s">
        <v>1694</v>
      </c>
    </row>
    <row r="5" spans="1:6">
      <c r="A5" t="str">
        <v>R004</v>
      </c>
      <c r="B5" t="str">
        <v>Malicious insiders using access for non-legitimate purposes. (Training VMs in Azure)</v>
      </c>
      <c r="C5" t="str">
        <v>Management (internal)</v>
      </c>
      <c r="D5" t="s">
        <v>1693</v>
      </c>
      <c r="E5" t="s">
        <v>1694</v>
      </c>
    </row>
    <row r="6" spans="1:6">
      <c r="A6" t="str">
        <v>R005</v>
      </c>
      <c r="B6" t="str">
        <v>Unauthorized access to confidential or proprietary project documentation. (Project Documentation)</v>
      </c>
      <c r="C6" t="str">
        <v>Employees/Contractors (internal)</v>
      </c>
      <c r="D6" t="s">
        <v>1693</v>
      </c>
      <c r="E6" t="s">
        <v>1694</v>
      </c>
    </row>
    <row r="7" spans="1:6">
      <c r="A7" t="str">
        <v>R006</v>
      </c>
      <c r="B7" t="str">
        <v>Loss of project documentation due to insufficient backup procedures.  (Project Documentation)</v>
      </c>
      <c r="C7" t="str">
        <v>ISMS Roles (internal)</v>
      </c>
      <c r="D7" t="s">
        <v>1693</v>
      </c>
      <c r="E7" t="s">
        <v>1694</v>
      </c>
    </row>
    <row r="8" spans="1:6">
      <c r="A8" t="str">
        <v>R007</v>
      </c>
      <c r="B8" t="str">
        <v>Loss or theft of laptops containing sensitive corporate data. (Personal laptops used for work purpose)</v>
      </c>
      <c r="C8" t="str">
        <v>Management (internal)</v>
      </c>
      <c r="D8" t="s">
        <v>1693</v>
      </c>
      <c r="E8" t="s">
        <v>1694</v>
      </c>
    </row>
    <row r="9" spans="1:6">
      <c r="A9" t="str">
        <v>R008</v>
      </c>
      <c r="B9" t="str">
        <v>Malware or ransomware infections compromising laptop security. (Personal laptops used for work purpose)</v>
      </c>
      <c r="C9" t="str">
        <v>ISMS Roles (internal)</v>
      </c>
      <c r="D9" t="s">
        <v>1693</v>
      </c>
      <c r="E9" t="s">
        <v>1694</v>
      </c>
    </row>
    <row r="10" spans="1:6">
      <c r="A10" t="str">
        <v>R009</v>
      </c>
      <c r="B10" t="str">
        <v>Loss of materials due to accidental deletion or system failure. (Training Materials)</v>
      </c>
      <c r="C10" t="str">
        <v>ISMS Roles (internal)</v>
      </c>
      <c r="D10" t="s">
        <v>1693</v>
      </c>
      <c r="E10" t="s">
        <v>1694</v>
      </c>
    </row>
    <row r="11" spans="1:6">
      <c r="A11" t="str">
        <v>R010</v>
      </c>
      <c r="B11" t="str">
        <v>Theft of intellectual property from proprietary training materials. (Training Materials)</v>
      </c>
      <c r="C11" t="str">
        <v>Management (internal)</v>
      </c>
      <c r="D11" t="s">
        <v>1693</v>
      </c>
      <c r="E11" t="s">
        <v>1694</v>
      </c>
    </row>
    <row r="12" spans="1:6">
      <c r="A12" t="str">
        <v>R011</v>
      </c>
      <c r="B12" t="str">
        <v>Unauthorized access or modification of internal policies. (Internal Process and Policy Documents)</v>
      </c>
      <c r="C12" t="str">
        <v>Management (internal)</v>
      </c>
      <c r="D12" t="s">
        <v>1693</v>
      </c>
      <c r="E12" t="s">
        <v>1694</v>
      </c>
    </row>
    <row r="13" spans="1:6">
      <c r="A13" t="str">
        <v>R012</v>
      </c>
      <c r="B13" t="str">
        <v>Loss of critical documents due to system failure or data corruption. (Internal Process and Policy Documents)</v>
      </c>
      <c r="C13" t="str">
        <v>ISMS Roles (internal)</v>
      </c>
      <c r="D13" t="s">
        <v>1693</v>
      </c>
      <c r="E13" t="s">
        <v>1694</v>
      </c>
    </row>
    <row r="14" spans="1:6">
      <c r="A14" t="str">
        <v>R013</v>
      </c>
      <c r="B14" t="str">
        <v>Data tampering or alteration of audit logs. (Internal Tracker and Audit Documents)</v>
      </c>
      <c r="C14" t="str">
        <v>ISMS Roles (internal)</v>
      </c>
      <c r="D14" t="s">
        <v>1693</v>
      </c>
      <c r="E14" t="s">
        <v>1694</v>
      </c>
    </row>
    <row r="15" spans="1:6">
      <c r="A15" t="str">
        <v>R014</v>
      </c>
      <c r="B15" t="str">
        <v>Loss of critical audit data due to system outages or insufficient backups. (Internal Tracker and Audit Documents)</v>
      </c>
      <c r="C15" t="str">
        <v>Management (internal)</v>
      </c>
      <c r="D15" t="s">
        <v>1693</v>
      </c>
      <c r="E15" t="s">
        <v>1694</v>
      </c>
    </row>
    <row r="16" spans="1:6">
      <c r="A16" t="str">
        <v>R015</v>
      </c>
      <c r="B16" t="str">
        <v>Website defacement or data breaches via website vulnerabilities. (Company Website)</v>
      </c>
      <c r="C16" t="str">
        <v>Management (internal)</v>
      </c>
      <c r="D16" t="s">
        <v>1693</v>
      </c>
      <c r="E16" t="s">
        <v>1694</v>
      </c>
    </row>
    <row r="17" spans="1:5">
      <c r="A17" t="str">
        <v>R016</v>
      </c>
      <c r="B17" t="str">
        <v>Distributed Denial of Service (DDoS) attacks that make the website unavailable. (Company Website)</v>
      </c>
      <c r="C17" t="str">
        <v>ISMS Roles (internal)</v>
      </c>
      <c r="D17" t="s">
        <v>1693</v>
      </c>
      <c r="E17" t="s">
        <v>1694</v>
      </c>
    </row>
    <row r="18" spans="1:5">
      <c r="A18" t="str">
        <v>R017</v>
      </c>
      <c r="B18" t="str">
        <v>Unauthorized access or misuse of company resources by contractors. (Contractors)</v>
      </c>
      <c r="C18" t="str">
        <v>Management (internal)</v>
      </c>
      <c r="D18" t="s">
        <v>1693</v>
      </c>
      <c r="E18" t="s">
        <v>1694</v>
      </c>
    </row>
    <row r="19" spans="1:5">
      <c r="A19" t="str">
        <v>R018</v>
      </c>
      <c r="B19" t="str">
        <v>Contractors exposing sensitive data to third parties unintentionally or maliciously. (Contractors)</v>
      </c>
      <c r="C19" t="str">
        <v>ISMS Roles (internal)</v>
      </c>
      <c r="D19" t="s">
        <v>1693</v>
      </c>
      <c r="E19" t="s">
        <v>1694</v>
      </c>
    </row>
    <row r="20" spans="1:5">
      <c r="A20" t="str">
        <v>R019</v>
      </c>
      <c r="B20" t="str">
        <v>Accidental data loss or disclosure due to human error. (Employees)</v>
      </c>
      <c r="C20" t="str">
        <v>ISMS Roles (internal)</v>
      </c>
      <c r="D20" t="s">
        <v>1693</v>
      </c>
      <c r="E20" t="s">
        <v>1694</v>
      </c>
    </row>
    <row r="21" spans="1:5">
      <c r="A21" t="str">
        <v>R020</v>
      </c>
      <c r="B21" t="str">
        <v>Social engineering or phishing attacks targeting employees. (Employees)</v>
      </c>
      <c r="C21" t="str">
        <v>ISMS Roles (internal)</v>
      </c>
      <c r="D21" t="s">
        <v>1693</v>
      </c>
      <c r="E21" t="s">
        <v>1694</v>
      </c>
    </row>
    <row r="22" spans="1:5">
      <c r="A22" t="str">
        <v>R021</v>
      </c>
      <c r="B22" t="str">
        <v>Loss or theft of mobile devices with sensitive company data. (Personal phones used for work purpose)</v>
      </c>
      <c r="C22" t="str">
        <v>Management (internal)</v>
      </c>
      <c r="D22" t="s">
        <v>1693</v>
      </c>
      <c r="E22" t="s">
        <v>1694</v>
      </c>
    </row>
    <row r="23" spans="1:5">
      <c r="A23" t="str">
        <v>R022</v>
      </c>
      <c r="B23" t="str">
        <v>Malware infections on personal phones leading to data compromise. (Personal phones used for work purpose)</v>
      </c>
      <c r="C23" t="str">
        <v>ISMS Roles (internal)</v>
      </c>
      <c r="D23" t="s">
        <v>1693</v>
      </c>
      <c r="E23" t="s">
        <v>1694</v>
      </c>
    </row>
    <row r="24" spans="1:5">
      <c r="A24" t="str">
        <v>R023</v>
      </c>
      <c r="B24" t="str">
        <v>Unauthorized access to the platform or its data. (Odoo Platform)</v>
      </c>
      <c r="C24" t="str">
        <v>Management (internal)</v>
      </c>
      <c r="D24" t="s">
        <v>1693</v>
      </c>
      <c r="E24" t="s">
        <v>1694</v>
      </c>
    </row>
    <row r="25" spans="1:5">
      <c r="A25" t="str">
        <v>R024</v>
      </c>
      <c r="B25" t="str">
        <v>Data leakage or unauthorized modification of Odoo records. (Odoo Platform)</v>
      </c>
      <c r="C25" t="str">
        <v>ISMS Roles (internal)</v>
      </c>
      <c r="D25" t="s">
        <v>1693</v>
      </c>
      <c r="E25" t="s">
        <v>1694</v>
      </c>
    </row>
    <row r="26" spans="1:5">
      <c r="A26" t="str">
        <v>R025</v>
      </c>
      <c r="B26" t="str">
        <v>Unauthorized access to cloud resources via compromised credentials. (Azure Cloud Services)</v>
      </c>
      <c r="C26" t="str">
        <v>ISMS Roles (internal)</v>
      </c>
      <c r="D26" t="s">
        <v>1693</v>
      </c>
      <c r="E26" t="s">
        <v>1694</v>
      </c>
    </row>
    <row r="27" spans="1:5">
      <c r="A27" t="str">
        <v>R026</v>
      </c>
      <c r="B27" t="str">
        <v>Service disruptions or outages affecting business continuity. (Azure Cloud Services)</v>
      </c>
      <c r="C27" t="str">
        <v>Suppliers/Partners (external)</v>
      </c>
      <c r="D27" t="s">
        <v>1693</v>
      </c>
      <c r="E27" t="s">
        <v>1694</v>
      </c>
    </row>
    <row r="28" spans="1:5">
      <c r="A28" t="str">
        <v>R027</v>
      </c>
      <c r="B28" t="str">
        <v>Data leaks or breaches from improperly configured SharePoint sharing settings. (Microsoft 365 &amp; SharePoint)</v>
      </c>
      <c r="C28" t="str">
        <v>Management (internal)</v>
      </c>
      <c r="D28" t="s">
        <v>1693</v>
      </c>
      <c r="E28" t="s">
        <v>1694</v>
      </c>
    </row>
    <row r="29" spans="1:5">
      <c r="A29" t="str">
        <v>R028</v>
      </c>
      <c r="B29" t="str">
        <v>Phishing or social engineering attacks targeting Microsoft 365 users. (Microsoft 365 &amp; SharePoint)</v>
      </c>
      <c r="C29" t="str">
        <v>ISMS Roles (internal)</v>
      </c>
      <c r="D29" t="s">
        <v>1693</v>
      </c>
      <c r="E29" t="s">
        <v>1694</v>
      </c>
    </row>
    <row r="30" spans="1:5" ht="32.1">
      <c r="A30" t="str">
        <v>R029</v>
      </c>
      <c r="B30" s="28" t="str">
        <v>Threats and deficiencies gathered using MS Defender so that identified vulnerabilities may be mitigated. (Microsoft 365 &amp; SharePoint, Azure and OneDrive)</v>
      </c>
      <c r="C30" t="str">
        <v>ISMS Roles (internal)</v>
      </c>
      <c r="D30" t="s">
        <v>1693</v>
      </c>
      <c r="E30" t="s">
        <v>1694</v>
      </c>
    </row>
    <row r="31" spans="1:5">
      <c r="A31" t="str">
        <v>R030</v>
      </c>
      <c r="B31" t="str">
        <v>Inadequate reporting to shareholders during a breach. (Shareholders/Investors)</v>
      </c>
      <c r="C31" t="str">
        <v>Auditors/Certification Bodies (external)</v>
      </c>
      <c r="D31" t="s">
        <v>1693</v>
      </c>
      <c r="E31" t="s">
        <v>1694</v>
      </c>
    </row>
    <row r="32" spans="1:5">
      <c r="A32" t="str">
        <v>R031</v>
      </c>
      <c r="B32" t="str">
        <v>Non-compliance with GDPR, national and industry privacy legislation/requirements. (Regulators)</v>
      </c>
      <c r="C32" t="str">
        <v>Regulatory Bodies (external)</v>
      </c>
      <c r="D32" t="s">
        <v>1693</v>
      </c>
      <c r="E32" t="s">
        <v>1694</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3C6FA-4E81-A740-8E66-BC407099D9DC}">
  <sheetPr codeName="Sheet20">
    <tabColor rgb="FF92D050"/>
  </sheetPr>
  <dimension ref="A1:N36"/>
  <sheetViews>
    <sheetView workbookViewId="0">
      <pane ySplit="1" topLeftCell="A2" activePane="bottomLeft" state="frozen"/>
      <selection pane="bottomLeft" activeCell="E7" sqref="E7"/>
    </sheetView>
  </sheetViews>
  <sheetFormatPr defaultColWidth="11.42578125" defaultRowHeight="15"/>
  <cols>
    <col min="1" max="1" width="19.7109375" bestFit="1" customWidth="1"/>
    <col min="2" max="2" width="14.28515625" bestFit="1" customWidth="1"/>
    <col min="3" max="3" width="40.5703125" customWidth="1"/>
    <col min="4" max="4" width="11.140625" customWidth="1"/>
    <col min="5" max="5" width="13.28515625" bestFit="1" customWidth="1"/>
    <col min="6" max="6" width="16.42578125" bestFit="1" customWidth="1"/>
    <col min="7" max="7" width="34.85546875" customWidth="1"/>
    <col min="8" max="8" width="30.42578125" customWidth="1"/>
    <col min="9" max="9" width="21.7109375" bestFit="1" customWidth="1"/>
    <col min="10" max="10" width="21.7109375" customWidth="1"/>
    <col min="11" max="11" width="25.42578125" customWidth="1"/>
    <col min="12" max="12" width="27.42578125" customWidth="1"/>
    <col min="13" max="13" width="12.42578125" customWidth="1"/>
    <col min="14" max="14" width="24.7109375" bestFit="1" customWidth="1"/>
    <col min="32" max="32" width="8.7109375" bestFit="1" customWidth="1"/>
  </cols>
  <sheetData>
    <row r="1" spans="1:14" s="1" customFormat="1">
      <c r="A1" s="1" t="s">
        <v>1695</v>
      </c>
      <c r="B1" s="1" t="s">
        <v>1696</v>
      </c>
      <c r="C1" s="1" t="s">
        <v>826</v>
      </c>
      <c r="D1" s="1" t="s">
        <v>1697</v>
      </c>
      <c r="E1" s="1" t="s">
        <v>1698</v>
      </c>
      <c r="F1" s="1" t="s">
        <v>1699</v>
      </c>
      <c r="G1" s="1" t="s">
        <v>1700</v>
      </c>
      <c r="H1" s="1" t="s">
        <v>1701</v>
      </c>
      <c r="I1" s="1" t="s">
        <v>1702</v>
      </c>
      <c r="J1" s="1" t="s">
        <v>1703</v>
      </c>
      <c r="K1" s="1" t="s">
        <v>1704</v>
      </c>
      <c r="L1" s="1" t="s">
        <v>1705</v>
      </c>
      <c r="M1" s="1" t="s">
        <v>821</v>
      </c>
      <c r="N1" s="1" t="s">
        <v>1706</v>
      </c>
    </row>
    <row r="2" spans="1:14" ht="198">
      <c r="A2" t="str">
        <f>'Audit Log'!E2</f>
        <v>F001</v>
      </c>
      <c r="B2" s="140">
        <f>'Audit Log'!B2</f>
        <v>45769</v>
      </c>
      <c r="C2" s="28" t="str">
        <f>'Audit Log'!F2</f>
        <v xml:space="preserve">Access register records from Q4 2024 documentation incomplete </v>
      </c>
      <c r="E2" t="str">
        <f>'Audit Log'!G2</f>
        <v>Medium</v>
      </c>
      <c r="F2" t="str">
        <f>'Audit Log'!H2</f>
        <v>CA001</v>
      </c>
      <c r="G2" s="28" t="s">
        <v>1707</v>
      </c>
      <c r="H2" t="s">
        <v>224</v>
      </c>
      <c r="I2" s="103">
        <v>45807</v>
      </c>
      <c r="J2" s="103">
        <v>45814</v>
      </c>
      <c r="K2" s="28" t="s">
        <v>1708</v>
      </c>
      <c r="L2" t="s">
        <v>1709</v>
      </c>
      <c r="M2" s="28" t="s">
        <v>218</v>
      </c>
      <c r="N2" s="28" t="s">
        <v>1710</v>
      </c>
    </row>
    <row r="3" spans="1:14" ht="30.75">
      <c r="A3" s="113" t="str">
        <f>'Audit Log'!E3</f>
        <v>F002</v>
      </c>
      <c r="B3" s="140">
        <f>'Audit Log'!B3</f>
        <v>45769</v>
      </c>
      <c r="C3" s="28" t="str">
        <f>'Audit Log'!F3</f>
        <v xml:space="preserve">Incident response drill planned but not done or documented for Q1 2025 </v>
      </c>
      <c r="E3" t="str">
        <f>'Audit Log'!G3</f>
        <v>Low</v>
      </c>
      <c r="F3" t="str">
        <f>'Audit Log'!H3</f>
        <v>CA002</v>
      </c>
      <c r="G3" s="28" t="s">
        <v>1711</v>
      </c>
      <c r="H3" t="s">
        <v>623</v>
      </c>
      <c r="I3" s="103">
        <v>45807</v>
      </c>
      <c r="J3" s="103">
        <v>45814</v>
      </c>
      <c r="K3" s="28"/>
      <c r="M3" s="28"/>
      <c r="N3" s="28"/>
    </row>
    <row r="4" spans="1:14" ht="167.25">
      <c r="A4" t="str">
        <f>'Audit Log'!E4</f>
        <v>F003</v>
      </c>
      <c r="B4" s="140">
        <f>'Audit Log'!B4</f>
        <v>45769</v>
      </c>
      <c r="C4" s="28" t="str">
        <f>'Audit Log'!F4</f>
        <v>Document Content Register in Workbook not reflecting final approval timestamps and change log</v>
      </c>
      <c r="E4" t="str">
        <f>'Audit Log'!G4</f>
        <v>Low</v>
      </c>
      <c r="F4" t="str">
        <f>'Audit Log'!H4</f>
        <v>CA003</v>
      </c>
      <c r="G4" s="28" t="s">
        <v>1712</v>
      </c>
      <c r="H4" t="s">
        <v>349</v>
      </c>
      <c r="I4" s="103">
        <v>45807</v>
      </c>
      <c r="J4" s="103">
        <v>45814</v>
      </c>
      <c r="K4" s="28" t="s">
        <v>229</v>
      </c>
      <c r="L4" t="s">
        <v>1709</v>
      </c>
      <c r="M4" s="28" t="s">
        <v>218</v>
      </c>
      <c r="N4" s="28" t="s">
        <v>1713</v>
      </c>
    </row>
    <row r="5" spans="1:14" ht="106.5">
      <c r="A5" t="s">
        <v>1404</v>
      </c>
      <c r="B5" s="140">
        <v>45777</v>
      </c>
      <c r="C5" s="243" t="s">
        <v>1714</v>
      </c>
      <c r="E5" t="s">
        <v>387</v>
      </c>
      <c r="F5" t="s">
        <v>1406</v>
      </c>
      <c r="G5" s="28"/>
      <c r="H5" t="s">
        <v>507</v>
      </c>
      <c r="I5" s="103">
        <v>45807</v>
      </c>
      <c r="J5" s="103">
        <v>45814</v>
      </c>
      <c r="K5" s="28" t="s">
        <v>1715</v>
      </c>
      <c r="L5" t="s">
        <v>1709</v>
      </c>
      <c r="M5" s="28" t="s">
        <v>218</v>
      </c>
      <c r="N5" s="28" t="s">
        <v>1400</v>
      </c>
    </row>
    <row r="6" spans="1:14" ht="213">
      <c r="A6" t="s">
        <v>1716</v>
      </c>
      <c r="B6" s="140">
        <v>45777</v>
      </c>
      <c r="C6" s="28" t="s">
        <v>1717</v>
      </c>
      <c r="F6" t="s">
        <v>1718</v>
      </c>
      <c r="G6" s="28"/>
      <c r="H6" t="s">
        <v>337</v>
      </c>
      <c r="I6" s="103">
        <v>45807</v>
      </c>
      <c r="J6" s="103">
        <v>45814</v>
      </c>
      <c r="K6" s="28" t="s">
        <v>226</v>
      </c>
      <c r="L6" t="s">
        <v>1709</v>
      </c>
      <c r="M6" s="28" t="s">
        <v>218</v>
      </c>
      <c r="N6" s="28" t="s">
        <v>1719</v>
      </c>
    </row>
    <row r="7" spans="1:14" ht="213">
      <c r="A7" t="s">
        <v>1720</v>
      </c>
      <c r="B7" s="140">
        <v>45777</v>
      </c>
      <c r="C7" s="28" t="s">
        <v>1721</v>
      </c>
      <c r="E7" t="s">
        <v>387</v>
      </c>
      <c r="F7" t="s">
        <v>1722</v>
      </c>
      <c r="G7" s="28" t="s">
        <v>1723</v>
      </c>
      <c r="H7" t="s">
        <v>160</v>
      </c>
      <c r="I7" s="103">
        <v>45807</v>
      </c>
      <c r="J7" s="103">
        <v>45814</v>
      </c>
      <c r="K7" s="28" t="s">
        <v>240</v>
      </c>
      <c r="L7" t="s">
        <v>1709</v>
      </c>
      <c r="M7" t="s">
        <v>218</v>
      </c>
      <c r="N7" s="28" t="s">
        <v>1724</v>
      </c>
    </row>
    <row r="8" spans="1:14" ht="137.25">
      <c r="A8" s="113" t="s">
        <v>1725</v>
      </c>
      <c r="B8" s="140">
        <v>45777</v>
      </c>
      <c r="C8" s="28" t="s">
        <v>1726</v>
      </c>
      <c r="E8" t="s">
        <v>387</v>
      </c>
      <c r="F8" t="s">
        <v>1727</v>
      </c>
      <c r="G8" s="28" t="s">
        <v>1407</v>
      </c>
      <c r="H8" t="s">
        <v>340</v>
      </c>
      <c r="I8" s="103">
        <v>46112</v>
      </c>
      <c r="J8" s="140">
        <v>46122</v>
      </c>
      <c r="N8" s="28"/>
    </row>
    <row r="9" spans="1:14">
      <c r="B9" s="140"/>
      <c r="C9" s="28"/>
      <c r="G9" s="28"/>
      <c r="J9" s="140"/>
      <c r="N9" s="28"/>
    </row>
    <row r="10" spans="1:14">
      <c r="B10" s="140"/>
      <c r="C10" s="28"/>
      <c r="G10" s="28"/>
      <c r="J10" s="140"/>
      <c r="N10" s="28"/>
    </row>
    <row r="11" spans="1:14">
      <c r="B11" s="140"/>
      <c r="C11" s="28"/>
      <c r="G11" s="28"/>
      <c r="J11" s="140"/>
      <c r="N11" s="28"/>
    </row>
    <row r="12" spans="1:14">
      <c r="B12" s="140"/>
      <c r="C12" s="28"/>
      <c r="G12" s="28"/>
      <c r="J12" s="140"/>
    </row>
    <row r="13" spans="1:14">
      <c r="B13" s="140"/>
      <c r="C13" s="28"/>
      <c r="J13" s="140"/>
    </row>
    <row r="14" spans="1:14" ht="166.5" customHeight="1">
      <c r="B14" s="140"/>
      <c r="C14" s="28"/>
      <c r="J14" s="140"/>
      <c r="K14" s="28" t="s">
        <v>1728</v>
      </c>
      <c r="L14" s="28" t="s">
        <v>1729</v>
      </c>
      <c r="N14" s="28" t="s">
        <v>1730</v>
      </c>
    </row>
    <row r="15" spans="1:14">
      <c r="B15" s="140"/>
    </row>
    <row r="16" spans="1:14">
      <c r="B16" s="140"/>
    </row>
    <row r="17" spans="2:2">
      <c r="B17" s="140"/>
    </row>
    <row r="18" spans="2:2">
      <c r="B18" s="140"/>
    </row>
    <row r="19" spans="2:2">
      <c r="B19" s="140"/>
    </row>
    <row r="20" spans="2:2">
      <c r="B20" s="140"/>
    </row>
    <row r="21" spans="2:2">
      <c r="B21" s="140"/>
    </row>
    <row r="22" spans="2:2">
      <c r="B22" s="140"/>
    </row>
    <row r="23" spans="2:2">
      <c r="B23" s="140"/>
    </row>
    <row r="24" spans="2:2">
      <c r="B24" s="140"/>
    </row>
    <row r="25" spans="2:2">
      <c r="B25" s="140"/>
    </row>
    <row r="26" spans="2:2">
      <c r="B26" s="140"/>
    </row>
    <row r="27" spans="2:2">
      <c r="B27" s="140"/>
    </row>
    <row r="28" spans="2:2">
      <c r="B28" s="140"/>
    </row>
    <row r="29" spans="2:2">
      <c r="B29" s="140"/>
    </row>
    <row r="30" spans="2:2">
      <c r="B30" s="140"/>
    </row>
    <row r="31" spans="2:2">
      <c r="B31" s="140"/>
    </row>
    <row r="32" spans="2:2">
      <c r="B32" s="140"/>
    </row>
    <row r="33" spans="2:2">
      <c r="B33" s="140"/>
    </row>
    <row r="34" spans="2:2">
      <c r="B34" s="140"/>
    </row>
    <row r="35" spans="2:2">
      <c r="B35" s="140"/>
    </row>
    <row r="36" spans="2:2">
      <c r="B36" s="140"/>
    </row>
  </sheetData>
  <conditionalFormatting sqref="I2:I42">
    <cfRule type="expression" dxfId="2" priority="2">
      <formula>AND(I2-TODAY()&lt;=7, I2-TODAY()&gt;=0)</formula>
    </cfRule>
  </conditionalFormatting>
  <conditionalFormatting sqref="J2:J41">
    <cfRule type="expression" dxfId="1" priority="1">
      <formula>AND(J2-TODAY()&lt;=7, J2-TODAY()&gt;=0)</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E14B1440-93B7-1641-A836-65028F7868FA}">
          <x14:formula1>
            <xm:f>'Instructions and Definitions'!$G$22:$G$33</xm:f>
          </x14:formula1>
          <xm:sqref>H2:H38</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B5886-B7CE-AE47-BE78-1D5485AC2DEF}">
  <sheetPr codeName="Sheet21"/>
  <dimension ref="A1:I3"/>
  <sheetViews>
    <sheetView workbookViewId="0">
      <selection activeCell="AA1" sqref="AA1:AA2"/>
    </sheetView>
  </sheetViews>
  <sheetFormatPr defaultColWidth="11.42578125" defaultRowHeight="15"/>
  <sheetData>
    <row r="1" spans="1:9" s="1" customFormat="1">
      <c r="A1" s="1" t="s">
        <v>1731</v>
      </c>
      <c r="B1" s="1" t="s">
        <v>1732</v>
      </c>
      <c r="C1" s="1" t="s">
        <v>1733</v>
      </c>
      <c r="D1" s="1" t="s">
        <v>1375</v>
      </c>
      <c r="E1" s="1" t="s">
        <v>1378</v>
      </c>
      <c r="F1" s="1" t="s">
        <v>1734</v>
      </c>
      <c r="G1" s="1" t="s">
        <v>1735</v>
      </c>
      <c r="H1" s="1" t="s">
        <v>821</v>
      </c>
      <c r="I1" s="1" t="s">
        <v>1736</v>
      </c>
    </row>
    <row r="3" spans="1:9">
      <c r="A3" s="149" t="s">
        <v>1737</v>
      </c>
      <c r="B3" s="149"/>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BC231-9A63-0B41-854F-D7A5C62C17A1}">
  <sheetPr codeName="Sheet22"/>
  <dimension ref="A1:M26"/>
  <sheetViews>
    <sheetView workbookViewId="0">
      <pane ySplit="1" topLeftCell="A7" activePane="bottomLeft" state="frozen"/>
      <selection pane="bottomLeft" activeCell="K7" sqref="K7"/>
    </sheetView>
  </sheetViews>
  <sheetFormatPr defaultColWidth="11.42578125" defaultRowHeight="15"/>
  <cols>
    <col min="1" max="1" width="13.42578125" bestFit="1" customWidth="1"/>
    <col min="2" max="2" width="15.7109375" bestFit="1" customWidth="1"/>
    <col min="3" max="3" width="15.7109375" customWidth="1"/>
    <col min="4" max="4" width="20.85546875" customWidth="1"/>
    <col min="5" max="5" width="24.140625" customWidth="1"/>
    <col min="6" max="6" width="13.5703125" customWidth="1"/>
    <col min="7" max="7" width="28.85546875" customWidth="1"/>
    <col min="8" max="8" width="9.140625" bestFit="1" customWidth="1"/>
    <col min="9" max="9" width="30.42578125" customWidth="1"/>
    <col min="10" max="10" width="16.42578125" bestFit="1" customWidth="1"/>
    <col min="11" max="11" width="20.28515625" bestFit="1" customWidth="1"/>
    <col min="12" max="12" width="24.42578125" bestFit="1" customWidth="1"/>
    <col min="31" max="31" width="8.7109375" bestFit="1" customWidth="1"/>
  </cols>
  <sheetData>
    <row r="1" spans="1:13" s="1" customFormat="1">
      <c r="A1" s="1" t="s">
        <v>1738</v>
      </c>
      <c r="B1" s="1" t="s">
        <v>1739</v>
      </c>
      <c r="C1" s="1" t="s">
        <v>1740</v>
      </c>
      <c r="D1" s="1" t="s">
        <v>1741</v>
      </c>
      <c r="E1" s="1" t="s">
        <v>1742</v>
      </c>
      <c r="F1" s="1" t="s">
        <v>1743</v>
      </c>
      <c r="G1" s="1" t="s">
        <v>1744</v>
      </c>
      <c r="H1" s="1" t="s">
        <v>1745</v>
      </c>
      <c r="I1" s="1" t="s">
        <v>1746</v>
      </c>
      <c r="J1" s="1" t="s">
        <v>1747</v>
      </c>
      <c r="K1" s="1" t="s">
        <v>1748</v>
      </c>
      <c r="L1" s="1" t="s">
        <v>1749</v>
      </c>
      <c r="M1" s="1" t="s">
        <v>823</v>
      </c>
    </row>
    <row r="2" spans="1:13" ht="85.5" customHeight="1">
      <c r="A2" t="s">
        <v>1750</v>
      </c>
      <c r="B2" s="28" t="s">
        <v>1751</v>
      </c>
      <c r="C2" s="28" t="s">
        <v>1752</v>
      </c>
      <c r="D2" s="28" t="s">
        <v>1753</v>
      </c>
      <c r="E2" s="28" t="s">
        <v>1754</v>
      </c>
      <c r="F2" s="28" t="s">
        <v>1755</v>
      </c>
      <c r="G2" s="28" t="s">
        <v>1756</v>
      </c>
      <c r="H2" t="s">
        <v>387</v>
      </c>
      <c r="I2" s="28" t="s">
        <v>1757</v>
      </c>
      <c r="J2" s="28" t="s">
        <v>1758</v>
      </c>
      <c r="K2" s="103">
        <v>45885</v>
      </c>
      <c r="L2" s="103">
        <v>46249</v>
      </c>
      <c r="M2" s="28" t="s">
        <v>1759</v>
      </c>
    </row>
    <row r="3" spans="1:13" ht="133.5" customHeight="1">
      <c r="A3" s="28" t="s">
        <v>1760</v>
      </c>
      <c r="B3" s="28" t="s">
        <v>1761</v>
      </c>
      <c r="C3" s="28" t="s">
        <v>1762</v>
      </c>
      <c r="D3" s="28" t="s">
        <v>1763</v>
      </c>
      <c r="E3" s="28" t="s">
        <v>1764</v>
      </c>
      <c r="F3" s="28" t="s">
        <v>1765</v>
      </c>
      <c r="G3" s="28" t="s">
        <v>1766</v>
      </c>
      <c r="H3" s="28" t="s">
        <v>387</v>
      </c>
      <c r="I3" s="28" t="s">
        <v>1767</v>
      </c>
      <c r="J3" s="28" t="s">
        <v>1768</v>
      </c>
      <c r="K3" s="313">
        <v>45925</v>
      </c>
      <c r="L3" s="313">
        <v>46290</v>
      </c>
      <c r="M3" s="28"/>
    </row>
    <row r="4" spans="1:13" ht="125.25" customHeight="1">
      <c r="A4" s="28" t="s">
        <v>1769</v>
      </c>
      <c r="B4" s="28" t="s">
        <v>1770</v>
      </c>
      <c r="C4" s="28" t="s">
        <v>1762</v>
      </c>
      <c r="D4" s="28" t="s">
        <v>1763</v>
      </c>
      <c r="E4" s="28" t="s">
        <v>1771</v>
      </c>
      <c r="F4" s="28" t="s">
        <v>1772</v>
      </c>
      <c r="G4" s="28" t="s">
        <v>1773</v>
      </c>
      <c r="H4" s="28" t="s">
        <v>1774</v>
      </c>
      <c r="I4" s="28" t="s">
        <v>1775</v>
      </c>
      <c r="J4" s="28" t="s">
        <v>1776</v>
      </c>
      <c r="K4" s="313">
        <v>45925</v>
      </c>
      <c r="L4" s="313">
        <v>46290</v>
      </c>
      <c r="M4" s="28"/>
    </row>
    <row r="5" spans="1:13" ht="121.5">
      <c r="A5" s="28" t="s">
        <v>1777</v>
      </c>
      <c r="B5" s="28" t="s">
        <v>1778</v>
      </c>
      <c r="C5" s="28" t="s">
        <v>1779</v>
      </c>
      <c r="D5" s="28" t="s">
        <v>1780</v>
      </c>
      <c r="E5" s="28" t="s">
        <v>1781</v>
      </c>
      <c r="F5" s="28" t="s">
        <v>1782</v>
      </c>
      <c r="G5" s="28" t="s">
        <v>1783</v>
      </c>
      <c r="H5" s="28" t="s">
        <v>387</v>
      </c>
      <c r="I5" s="28" t="s">
        <v>1784</v>
      </c>
      <c r="J5" s="28" t="s">
        <v>1785</v>
      </c>
      <c r="K5" s="313">
        <v>45925</v>
      </c>
      <c r="L5" s="313">
        <v>46290</v>
      </c>
      <c r="M5" s="28"/>
    </row>
    <row r="6" spans="1:13" ht="60.75">
      <c r="A6" s="28" t="s">
        <v>1786</v>
      </c>
      <c r="B6" s="28" t="s">
        <v>1787</v>
      </c>
      <c r="C6" s="28" t="s">
        <v>1788</v>
      </c>
      <c r="D6" s="28" t="s">
        <v>1789</v>
      </c>
      <c r="E6" s="28" t="s">
        <v>1790</v>
      </c>
      <c r="F6" s="28" t="s">
        <v>1791</v>
      </c>
      <c r="G6" s="28" t="s">
        <v>1783</v>
      </c>
      <c r="H6" s="212"/>
      <c r="I6" s="28" t="s">
        <v>1792</v>
      </c>
      <c r="J6" s="28" t="s">
        <v>1793</v>
      </c>
      <c r="K6" s="313">
        <v>45926</v>
      </c>
      <c r="L6" s="313">
        <v>46291</v>
      </c>
    </row>
    <row r="7" spans="1:13" ht="291" customHeight="1">
      <c r="A7" s="28" t="s">
        <v>1794</v>
      </c>
      <c r="B7" s="28" t="s">
        <v>1795</v>
      </c>
      <c r="C7" s="28" t="s">
        <v>1762</v>
      </c>
      <c r="D7" s="28" t="s">
        <v>1796</v>
      </c>
      <c r="E7" s="28" t="s">
        <v>1797</v>
      </c>
      <c r="F7" s="28" t="s">
        <v>1798</v>
      </c>
      <c r="G7" s="28" t="s">
        <v>1799</v>
      </c>
      <c r="H7" s="212"/>
      <c r="I7" s="28" t="s">
        <v>1800</v>
      </c>
      <c r="J7" s="28" t="s">
        <v>1801</v>
      </c>
      <c r="K7" s="313">
        <v>45986</v>
      </c>
      <c r="L7" s="313">
        <v>46294</v>
      </c>
    </row>
    <row r="8" spans="1:13" ht="108.75" customHeight="1">
      <c r="A8" s="28" t="s">
        <v>1802</v>
      </c>
      <c r="B8" s="28" t="s">
        <v>1803</v>
      </c>
      <c r="C8" s="28" t="s">
        <v>1804</v>
      </c>
      <c r="D8" s="28" t="s">
        <v>1805</v>
      </c>
      <c r="E8" s="28" t="s">
        <v>1806</v>
      </c>
      <c r="F8" s="28" t="s">
        <v>1807</v>
      </c>
      <c r="G8" s="28" t="s">
        <v>1808</v>
      </c>
      <c r="H8" s="28" t="s">
        <v>387</v>
      </c>
      <c r="I8" s="28" t="s">
        <v>1809</v>
      </c>
      <c r="J8" s="28" t="s">
        <v>1225</v>
      </c>
      <c r="K8" s="313">
        <v>45929</v>
      </c>
      <c r="L8" s="313">
        <v>46294</v>
      </c>
    </row>
    <row r="9" spans="1:13">
      <c r="A9" s="28"/>
      <c r="B9" s="28"/>
      <c r="C9" s="28"/>
      <c r="D9" s="28"/>
      <c r="E9" s="28"/>
      <c r="F9" s="28"/>
      <c r="G9" s="28"/>
      <c r="H9" s="28"/>
      <c r="I9" s="28"/>
      <c r="J9" s="28"/>
      <c r="K9" s="313"/>
      <c r="L9" s="313"/>
    </row>
    <row r="10" spans="1:13">
      <c r="A10" s="28"/>
      <c r="B10" s="28"/>
      <c r="C10" s="28"/>
      <c r="D10" s="28"/>
      <c r="E10" s="28"/>
      <c r="F10" s="28"/>
      <c r="G10" s="28"/>
      <c r="H10" s="28"/>
      <c r="I10" s="28"/>
      <c r="J10" s="28"/>
      <c r="K10" s="313"/>
      <c r="L10" s="313"/>
    </row>
    <row r="11" spans="1:13">
      <c r="A11" s="28"/>
      <c r="B11" s="28"/>
      <c r="C11" s="28"/>
      <c r="D11" s="28"/>
      <c r="E11" s="28"/>
      <c r="F11" s="28"/>
      <c r="G11" s="28"/>
      <c r="H11" s="28"/>
      <c r="I11" s="28"/>
      <c r="J11" s="28"/>
      <c r="K11" s="313"/>
      <c r="L11" s="313"/>
    </row>
    <row r="12" spans="1:13">
      <c r="A12" s="28"/>
      <c r="B12" s="28"/>
      <c r="C12" s="28"/>
      <c r="D12" s="28"/>
      <c r="E12" s="28"/>
      <c r="F12" s="28"/>
      <c r="G12" s="28"/>
      <c r="H12" s="28"/>
      <c r="I12" s="28"/>
      <c r="J12" s="28"/>
      <c r="K12" s="313"/>
      <c r="L12" s="313"/>
    </row>
    <row r="13" spans="1:13">
      <c r="A13" s="28"/>
      <c r="B13" s="28"/>
      <c r="C13" s="28"/>
      <c r="D13" s="28"/>
      <c r="E13" s="28"/>
      <c r="F13" s="28"/>
      <c r="G13" s="28"/>
      <c r="H13" s="28"/>
      <c r="I13" s="28"/>
      <c r="J13" s="28"/>
      <c r="K13" s="313"/>
      <c r="L13" s="313"/>
    </row>
    <row r="14" spans="1:13">
      <c r="A14" s="28"/>
      <c r="B14" s="28"/>
      <c r="C14" s="28"/>
      <c r="D14" s="28"/>
      <c r="E14" s="28"/>
      <c r="F14" s="28"/>
      <c r="G14" s="28"/>
      <c r="H14" s="28"/>
      <c r="I14" s="28"/>
      <c r="J14" s="28"/>
      <c r="K14" s="313"/>
      <c r="L14" s="313"/>
    </row>
    <row r="15" spans="1:13">
      <c r="A15" s="28"/>
      <c r="B15" s="28"/>
      <c r="C15" s="28"/>
      <c r="D15" s="28"/>
      <c r="E15" s="28"/>
      <c r="F15" s="28"/>
      <c r="G15" s="28"/>
      <c r="H15" s="28"/>
      <c r="I15" s="28"/>
      <c r="J15" s="28"/>
      <c r="K15" s="313"/>
      <c r="L15" s="313"/>
    </row>
    <row r="16" spans="1:13">
      <c r="A16" s="28"/>
      <c r="B16" s="28"/>
      <c r="C16" s="28"/>
      <c r="D16" s="28"/>
      <c r="E16" s="28"/>
      <c r="F16" s="28"/>
      <c r="G16" s="28"/>
      <c r="H16" s="28"/>
      <c r="I16" s="28"/>
      <c r="J16" s="28"/>
      <c r="K16" s="313"/>
      <c r="L16" s="313"/>
    </row>
    <row r="17" spans="1:12">
      <c r="A17" s="28"/>
      <c r="B17" s="28"/>
      <c r="C17" s="28"/>
      <c r="D17" s="28"/>
      <c r="E17" s="28"/>
      <c r="F17" s="28"/>
      <c r="G17" s="28"/>
      <c r="H17" s="28"/>
      <c r="I17" s="28"/>
      <c r="J17" s="28"/>
      <c r="K17" s="313"/>
      <c r="L17" s="313"/>
    </row>
    <row r="18" spans="1:12">
      <c r="A18" s="28"/>
      <c r="B18" s="28"/>
      <c r="C18" s="28"/>
      <c r="D18" s="28"/>
      <c r="E18" s="28"/>
      <c r="F18" s="28"/>
      <c r="G18" s="28"/>
      <c r="H18" s="28"/>
      <c r="I18" s="28"/>
      <c r="J18" s="28"/>
      <c r="K18" s="313"/>
      <c r="L18" s="313"/>
    </row>
    <row r="19" spans="1:12">
      <c r="A19" s="28"/>
      <c r="B19" s="28"/>
      <c r="C19" s="28"/>
      <c r="D19" s="28"/>
      <c r="E19" s="28"/>
      <c r="F19" s="28"/>
      <c r="G19" s="28"/>
      <c r="H19" s="28"/>
      <c r="I19" s="28"/>
      <c r="J19" s="28"/>
      <c r="K19" s="313"/>
      <c r="L19" s="313"/>
    </row>
    <row r="20" spans="1:12">
      <c r="A20" s="28"/>
      <c r="B20" s="28"/>
      <c r="C20" s="28"/>
      <c r="D20" s="28"/>
      <c r="E20" s="28"/>
      <c r="F20" s="28"/>
      <c r="G20" s="28"/>
      <c r="H20" s="28"/>
      <c r="I20" s="28"/>
      <c r="J20" s="28"/>
      <c r="K20" s="28"/>
      <c r="L20" s="28"/>
    </row>
    <row r="21" spans="1:12">
      <c r="A21" s="28"/>
      <c r="B21" s="28"/>
      <c r="C21" s="28"/>
      <c r="D21" s="28"/>
      <c r="E21" s="28"/>
      <c r="F21" s="28"/>
      <c r="G21" s="28"/>
      <c r="H21" s="28"/>
      <c r="I21" s="28"/>
      <c r="J21" s="28"/>
      <c r="K21" s="28"/>
      <c r="L21" s="28"/>
    </row>
    <row r="22" spans="1:12">
      <c r="A22" s="28"/>
      <c r="B22" s="28"/>
      <c r="C22" s="28"/>
      <c r="D22" s="28"/>
      <c r="E22" s="28"/>
      <c r="F22" s="28"/>
      <c r="G22" s="28"/>
      <c r="H22" s="28"/>
      <c r="I22" s="28"/>
      <c r="J22" s="28"/>
      <c r="K22" s="28"/>
      <c r="L22" s="28"/>
    </row>
    <row r="23" spans="1:12">
      <c r="A23" s="28"/>
      <c r="B23" s="28"/>
      <c r="C23" s="28"/>
      <c r="D23" s="28"/>
      <c r="E23" s="28"/>
      <c r="F23" s="28"/>
      <c r="G23" s="28"/>
      <c r="H23" s="28"/>
      <c r="I23" s="28"/>
      <c r="J23" s="28"/>
      <c r="K23" s="28"/>
      <c r="L23" s="28"/>
    </row>
    <row r="24" spans="1:12">
      <c r="A24" s="28"/>
      <c r="B24" s="28"/>
      <c r="C24" s="28"/>
      <c r="D24" s="28"/>
      <c r="E24" s="28"/>
      <c r="F24" s="28"/>
      <c r="G24" s="28"/>
      <c r="H24" s="28"/>
      <c r="I24" s="28"/>
      <c r="J24" s="28"/>
      <c r="K24" s="28"/>
      <c r="L24" s="28"/>
    </row>
    <row r="25" spans="1:12">
      <c r="A25" s="28"/>
      <c r="B25" s="28"/>
      <c r="C25" s="28"/>
      <c r="D25" s="28"/>
      <c r="E25" s="28"/>
      <c r="F25" s="28"/>
      <c r="G25" s="28"/>
      <c r="H25" s="28"/>
      <c r="I25" s="28"/>
      <c r="J25" s="28"/>
      <c r="K25" s="28"/>
      <c r="L25" s="28"/>
    </row>
    <row r="26" spans="1:12">
      <c r="A26" s="28"/>
      <c r="B26" s="28"/>
      <c r="C26" s="28"/>
      <c r="D26" s="28"/>
      <c r="E26" s="28"/>
      <c r="F26" s="28"/>
      <c r="G26" s="28"/>
      <c r="H26" s="28"/>
      <c r="I26" s="28"/>
      <c r="J26" s="28"/>
      <c r="K26" s="28"/>
      <c r="L26" s="28"/>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FBE86-108A-40C5-9384-FC59BF7F886A}">
  <dimension ref="A1:J49"/>
  <sheetViews>
    <sheetView workbookViewId="0">
      <pane ySplit="7" topLeftCell="A13" activePane="bottomLeft" state="frozen"/>
      <selection pane="bottomLeft" activeCell="E14" sqref="E14"/>
    </sheetView>
  </sheetViews>
  <sheetFormatPr defaultRowHeight="15"/>
  <cols>
    <col min="1" max="1" width="20.28515625" customWidth="1"/>
    <col min="2" max="2" width="16.140625" customWidth="1"/>
    <col min="3" max="3" width="12.42578125" customWidth="1"/>
    <col min="4" max="4" width="14.7109375" customWidth="1"/>
    <col min="5" max="5" width="18.5703125" customWidth="1"/>
    <col min="6" max="6" width="16.7109375" customWidth="1"/>
    <col min="7" max="7" width="14.42578125" customWidth="1"/>
    <col min="8" max="8" width="13.140625" customWidth="1"/>
    <col min="9" max="9" width="14.140625" customWidth="1"/>
    <col min="10" max="10" width="9.140625" bestFit="1" customWidth="1"/>
  </cols>
  <sheetData>
    <row r="1" spans="1:10">
      <c r="A1" s="1" t="s">
        <v>1810</v>
      </c>
    </row>
    <row r="2" spans="1:10">
      <c r="A2" s="1" t="s">
        <v>1811</v>
      </c>
    </row>
    <row r="3" spans="1:10">
      <c r="A3" s="1" t="s">
        <v>1812</v>
      </c>
    </row>
    <row r="4" spans="1:10">
      <c r="A4" s="1" t="s">
        <v>1813</v>
      </c>
    </row>
    <row r="5" spans="1:10">
      <c r="A5" s="304" t="s">
        <v>1814</v>
      </c>
    </row>
    <row r="7" spans="1:10">
      <c r="A7" s="1" t="s">
        <v>1815</v>
      </c>
      <c r="B7" s="1" t="s">
        <v>1816</v>
      </c>
      <c r="C7" s="1" t="s">
        <v>1817</v>
      </c>
      <c r="D7" s="1" t="s">
        <v>1818</v>
      </c>
      <c r="E7" s="1" t="s">
        <v>1819</v>
      </c>
      <c r="F7" s="1" t="s">
        <v>1820</v>
      </c>
      <c r="G7" s="1" t="s">
        <v>1821</v>
      </c>
      <c r="H7" s="1" t="s">
        <v>1822</v>
      </c>
      <c r="I7" s="1" t="s">
        <v>1823</v>
      </c>
      <c r="J7" s="1" t="s">
        <v>823</v>
      </c>
    </row>
    <row r="8" spans="1:10">
      <c r="A8" t="s">
        <v>1824</v>
      </c>
      <c r="B8" s="140">
        <v>46050</v>
      </c>
      <c r="C8" s="103">
        <v>45985</v>
      </c>
      <c r="D8" s="103">
        <v>45936</v>
      </c>
      <c r="E8" s="103">
        <v>45758</v>
      </c>
      <c r="F8" t="s">
        <v>1677</v>
      </c>
      <c r="G8" t="s">
        <v>1661</v>
      </c>
      <c r="H8" t="s">
        <v>194</v>
      </c>
      <c r="I8" s="140">
        <v>46418</v>
      </c>
    </row>
    <row r="9" spans="1:10">
      <c r="A9" t="s">
        <v>169</v>
      </c>
      <c r="B9" s="140">
        <v>46050</v>
      </c>
      <c r="C9" s="103">
        <v>45986</v>
      </c>
      <c r="D9" s="103">
        <v>45936</v>
      </c>
      <c r="E9" s="103">
        <v>45755</v>
      </c>
      <c r="F9" t="s">
        <v>1677</v>
      </c>
      <c r="G9" t="s">
        <v>1661</v>
      </c>
      <c r="H9" t="s">
        <v>194</v>
      </c>
      <c r="I9" s="140">
        <v>46418</v>
      </c>
    </row>
    <row r="10" spans="1:10">
      <c r="A10" t="s">
        <v>171</v>
      </c>
      <c r="B10" s="140">
        <v>46050</v>
      </c>
      <c r="C10" s="103">
        <v>45986</v>
      </c>
      <c r="D10" s="103">
        <v>45936</v>
      </c>
      <c r="E10" s="103">
        <v>45754</v>
      </c>
      <c r="F10" t="s">
        <v>1677</v>
      </c>
      <c r="G10" t="s">
        <v>1661</v>
      </c>
      <c r="H10" t="s">
        <v>194</v>
      </c>
      <c r="I10" s="140">
        <v>46418</v>
      </c>
    </row>
    <row r="11" spans="1:10">
      <c r="A11" t="s">
        <v>1825</v>
      </c>
      <c r="B11" s="140">
        <v>46050</v>
      </c>
      <c r="C11" s="103">
        <v>45986</v>
      </c>
      <c r="D11" s="103">
        <v>45936</v>
      </c>
      <c r="E11" s="103">
        <v>45749</v>
      </c>
      <c r="F11" t="s">
        <v>1677</v>
      </c>
      <c r="G11" t="s">
        <v>1661</v>
      </c>
      <c r="H11" t="s">
        <v>194</v>
      </c>
      <c r="I11" s="140">
        <v>46418</v>
      </c>
    </row>
    <row r="12" spans="1:10">
      <c r="B12" s="140"/>
      <c r="I12" s="140"/>
    </row>
    <row r="13" spans="1:10">
      <c r="B13" s="140"/>
      <c r="I13" s="140"/>
    </row>
    <row r="14" spans="1:10">
      <c r="B14" s="140"/>
      <c r="I14" s="140"/>
    </row>
    <row r="15" spans="1:10">
      <c r="B15" s="140"/>
      <c r="I15" s="140"/>
    </row>
    <row r="16" spans="1:10">
      <c r="B16" s="140"/>
      <c r="I16" s="140"/>
    </row>
    <row r="17" spans="2:9">
      <c r="B17" s="140"/>
      <c r="I17" s="140"/>
    </row>
    <row r="18" spans="2:9">
      <c r="B18" s="140"/>
      <c r="I18" s="140"/>
    </row>
    <row r="19" spans="2:9">
      <c r="B19" s="140"/>
      <c r="I19" s="140"/>
    </row>
    <row r="20" spans="2:9">
      <c r="B20" s="140"/>
      <c r="I20" s="140"/>
    </row>
    <row r="21" spans="2:9">
      <c r="B21" s="140"/>
      <c r="I21" s="140"/>
    </row>
    <row r="22" spans="2:9">
      <c r="B22" s="140"/>
      <c r="I22" s="140"/>
    </row>
    <row r="23" spans="2:9">
      <c r="B23" s="140"/>
      <c r="I23" s="140"/>
    </row>
    <row r="24" spans="2:9">
      <c r="B24" s="140"/>
      <c r="I24" s="140"/>
    </row>
    <row r="25" spans="2:9">
      <c r="B25" s="140"/>
      <c r="I25" s="140"/>
    </row>
    <row r="26" spans="2:9">
      <c r="B26" s="140"/>
      <c r="I26" s="140"/>
    </row>
    <row r="27" spans="2:9">
      <c r="B27" s="140"/>
      <c r="I27" s="140"/>
    </row>
    <row r="28" spans="2:9">
      <c r="B28" s="140"/>
      <c r="I28" s="140"/>
    </row>
    <row r="29" spans="2:9">
      <c r="B29" s="140"/>
      <c r="I29" s="140"/>
    </row>
    <row r="30" spans="2:9">
      <c r="B30" s="140"/>
      <c r="I30" s="140"/>
    </row>
    <row r="31" spans="2:9">
      <c r="B31" s="140"/>
      <c r="I31" s="140"/>
    </row>
    <row r="32" spans="2:9">
      <c r="B32" s="140"/>
      <c r="I32" s="140"/>
    </row>
    <row r="33" spans="2:9">
      <c r="B33" s="140"/>
      <c r="I33" s="140"/>
    </row>
    <row r="34" spans="2:9">
      <c r="B34" s="140"/>
      <c r="I34" s="140"/>
    </row>
    <row r="35" spans="2:9">
      <c r="B35" s="140"/>
      <c r="I35" s="140"/>
    </row>
    <row r="36" spans="2:9">
      <c r="B36" s="140"/>
      <c r="I36" s="140"/>
    </row>
    <row r="37" spans="2:9">
      <c r="B37" s="140"/>
      <c r="I37" s="140"/>
    </row>
    <row r="38" spans="2:9">
      <c r="B38" s="140"/>
      <c r="I38" s="140"/>
    </row>
    <row r="39" spans="2:9">
      <c r="B39" s="140"/>
      <c r="I39" s="140"/>
    </row>
    <row r="40" spans="2:9">
      <c r="B40" s="140"/>
      <c r="I40" s="140"/>
    </row>
    <row r="41" spans="2:9">
      <c r="B41" s="140"/>
      <c r="I41" s="140"/>
    </row>
    <row r="42" spans="2:9">
      <c r="I42" s="140"/>
    </row>
    <row r="43" spans="2:9">
      <c r="I43" s="140"/>
    </row>
    <row r="44" spans="2:9">
      <c r="I44" s="140"/>
    </row>
    <row r="45" spans="2:9">
      <c r="I45" s="140"/>
    </row>
    <row r="46" spans="2:9">
      <c r="I46" s="140"/>
    </row>
    <row r="47" spans="2:9">
      <c r="I47" s="140"/>
    </row>
    <row r="48" spans="2:9">
      <c r="I48" s="140"/>
    </row>
    <row r="49" spans="9:9">
      <c r="I49" s="14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F44AD-8487-3643-BEF3-B976144E9A91}">
  <sheetPr codeName="Sheet23"/>
  <dimension ref="A1:N5"/>
  <sheetViews>
    <sheetView workbookViewId="0"/>
  </sheetViews>
  <sheetFormatPr defaultColWidth="11.42578125" defaultRowHeight="15"/>
  <cols>
    <col min="1" max="1" width="8.28515625" bestFit="1" customWidth="1"/>
    <col min="2" max="2" width="11" bestFit="1" customWidth="1"/>
    <col min="3" max="3" width="7" bestFit="1" customWidth="1"/>
    <col min="4" max="4" width="17.42578125" bestFit="1" customWidth="1"/>
    <col min="5" max="5" width="22.85546875" bestFit="1" customWidth="1"/>
    <col min="6" max="6" width="18" customWidth="1"/>
    <col min="9" max="9" width="15.140625" customWidth="1"/>
    <col min="11" max="11" width="13.85546875" customWidth="1"/>
    <col min="12" max="12" width="16.140625" customWidth="1"/>
    <col min="32" max="32" width="8.7109375" bestFit="1" customWidth="1"/>
  </cols>
  <sheetData>
    <row r="1" spans="1:14" s="1" customFormat="1">
      <c r="A1" s="1" t="s">
        <v>1826</v>
      </c>
      <c r="B1" s="1" t="s">
        <v>1827</v>
      </c>
      <c r="C1" s="1" t="s">
        <v>1270</v>
      </c>
      <c r="D1" s="1" t="s">
        <v>1828</v>
      </c>
      <c r="E1" s="1" t="s">
        <v>1829</v>
      </c>
      <c r="F1" s="1" t="s">
        <v>1830</v>
      </c>
      <c r="G1" s="1" t="s">
        <v>1831</v>
      </c>
      <c r="H1" s="1" t="s">
        <v>1732</v>
      </c>
      <c r="I1" s="1" t="s">
        <v>1832</v>
      </c>
      <c r="J1" s="1" t="s">
        <v>1412</v>
      </c>
      <c r="K1" s="1" t="s">
        <v>1833</v>
      </c>
      <c r="L1" s="1" t="s">
        <v>1834</v>
      </c>
      <c r="M1" s="1" t="s">
        <v>1835</v>
      </c>
      <c r="N1" s="1" t="s">
        <v>320</v>
      </c>
    </row>
    <row r="2" spans="1:14">
      <c r="I2" t="s">
        <v>1836</v>
      </c>
    </row>
    <row r="3" spans="1:14">
      <c r="F3" t="s">
        <v>1837</v>
      </c>
      <c r="I3" t="s">
        <v>1838</v>
      </c>
    </row>
    <row r="4" spans="1:14">
      <c r="I4" t="s">
        <v>1839</v>
      </c>
    </row>
    <row r="5" spans="1:14">
      <c r="I5" t="s">
        <v>1840</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96071-320F-B84D-9EA8-3985AE93DA92}">
  <sheetPr codeName="Sheet24"/>
  <dimension ref="A1:N45"/>
  <sheetViews>
    <sheetView workbookViewId="0">
      <selection activeCell="B3" sqref="B3"/>
    </sheetView>
  </sheetViews>
  <sheetFormatPr defaultColWidth="11.42578125" defaultRowHeight="15"/>
  <cols>
    <col min="2" max="2" width="16.85546875" customWidth="1"/>
    <col min="4" max="4" width="13" customWidth="1"/>
    <col min="5" max="5" width="31.85546875" customWidth="1"/>
    <col min="6" max="6" width="19.28515625" customWidth="1"/>
    <col min="7" max="7" width="17.42578125" customWidth="1"/>
    <col min="8" max="8" width="18.42578125" customWidth="1"/>
    <col min="9" max="9" width="17.28515625" customWidth="1"/>
    <col min="10" max="10" width="21.28515625" customWidth="1"/>
    <col min="12" max="12" width="18" customWidth="1"/>
    <col min="14" max="14" width="26.85546875" customWidth="1"/>
  </cols>
  <sheetData>
    <row r="1" spans="1:14" s="1" customFormat="1" ht="30.75">
      <c r="A1" s="1" t="s">
        <v>183</v>
      </c>
      <c r="B1" s="1" t="s">
        <v>1841</v>
      </c>
      <c r="C1" s="1" t="s">
        <v>1842</v>
      </c>
      <c r="D1" s="1" t="s">
        <v>1375</v>
      </c>
      <c r="E1" s="1" t="s">
        <v>1843</v>
      </c>
      <c r="F1" s="1" t="s">
        <v>1844</v>
      </c>
      <c r="G1" s="1" t="s">
        <v>1845</v>
      </c>
      <c r="H1" s="30" t="s">
        <v>1846</v>
      </c>
      <c r="I1" s="1" t="s">
        <v>1477</v>
      </c>
      <c r="J1" s="1" t="s">
        <v>315</v>
      </c>
      <c r="K1" s="1" t="s">
        <v>821</v>
      </c>
      <c r="L1" s="1" t="s">
        <v>1847</v>
      </c>
      <c r="M1" s="1" t="s">
        <v>320</v>
      </c>
      <c r="N1" s="1" t="s">
        <v>1848</v>
      </c>
    </row>
    <row r="2" spans="1:14" ht="115.5" customHeight="1">
      <c r="A2" s="140"/>
      <c r="D2" s="28" t="s">
        <v>1849</v>
      </c>
      <c r="E2" s="28" t="s">
        <v>1850</v>
      </c>
    </row>
    <row r="3" spans="1:14" ht="109.5" customHeight="1">
      <c r="A3" s="140">
        <v>45936</v>
      </c>
      <c r="D3" s="28" t="s">
        <v>1851</v>
      </c>
      <c r="E3" s="28" t="s">
        <v>1852</v>
      </c>
      <c r="F3" s="28" t="s">
        <v>1853</v>
      </c>
      <c r="G3" s="28" t="s">
        <v>1854</v>
      </c>
      <c r="H3" s="28" t="s">
        <v>1855</v>
      </c>
      <c r="I3" t="s">
        <v>221</v>
      </c>
    </row>
    <row r="4" spans="1:14" ht="93" customHeight="1">
      <c r="A4" s="140"/>
      <c r="D4" s="28" t="s">
        <v>1856</v>
      </c>
      <c r="E4" s="28" t="s">
        <v>1857</v>
      </c>
      <c r="F4" s="28"/>
      <c r="G4" s="28"/>
    </row>
    <row r="5" spans="1:14" ht="91.5">
      <c r="A5" s="140"/>
      <c r="D5" s="28" t="s">
        <v>1858</v>
      </c>
      <c r="E5" s="28" t="s">
        <v>1859</v>
      </c>
      <c r="F5" s="28"/>
      <c r="G5" s="28"/>
    </row>
    <row r="6" spans="1:14" ht="77.25" customHeight="1">
      <c r="A6" s="140"/>
      <c r="D6" s="28" t="s">
        <v>1860</v>
      </c>
      <c r="E6" s="28" t="s">
        <v>1861</v>
      </c>
      <c r="F6" s="28"/>
      <c r="G6" s="28"/>
    </row>
    <row r="7" spans="1:14" ht="91.5">
      <c r="A7" s="140"/>
      <c r="D7" s="28" t="s">
        <v>1862</v>
      </c>
      <c r="E7" s="28" t="s">
        <v>1863</v>
      </c>
      <c r="F7" s="28"/>
      <c r="G7" s="28"/>
    </row>
    <row r="8" spans="1:14" ht="106.5" customHeight="1">
      <c r="A8" s="140"/>
      <c r="D8" s="28" t="s">
        <v>1864</v>
      </c>
      <c r="E8" s="28" t="s">
        <v>1865</v>
      </c>
      <c r="F8" s="28"/>
      <c r="G8" s="28"/>
    </row>
    <row r="9" spans="1:14" ht="74.25" customHeight="1">
      <c r="A9" s="140"/>
      <c r="D9" s="28" t="s">
        <v>1866</v>
      </c>
      <c r="E9" s="28" t="s">
        <v>1867</v>
      </c>
      <c r="F9" s="28"/>
      <c r="G9" s="28"/>
    </row>
    <row r="10" spans="1:14" ht="76.5">
      <c r="A10" s="140"/>
      <c r="D10" s="28" t="s">
        <v>1868</v>
      </c>
      <c r="E10" s="28" t="s">
        <v>1869</v>
      </c>
      <c r="F10" s="28"/>
      <c r="G10" s="28"/>
    </row>
    <row r="11" spans="1:14" ht="121.5">
      <c r="A11" s="140"/>
      <c r="D11" s="28" t="s">
        <v>1870</v>
      </c>
      <c r="E11" s="28" t="s">
        <v>1871</v>
      </c>
      <c r="F11" s="28"/>
      <c r="G11" s="28"/>
    </row>
    <row r="12" spans="1:14" ht="137.25">
      <c r="A12" s="140"/>
      <c r="D12" s="28" t="s">
        <v>1872</v>
      </c>
      <c r="E12" s="28" t="s">
        <v>1873</v>
      </c>
      <c r="F12" s="28"/>
      <c r="G12" s="28"/>
    </row>
    <row r="13" spans="1:14">
      <c r="A13" s="140"/>
      <c r="D13" s="28"/>
      <c r="E13" s="28"/>
      <c r="F13" s="28"/>
      <c r="G13" s="28"/>
    </row>
    <row r="14" spans="1:14">
      <c r="A14" s="140"/>
      <c r="D14" s="28"/>
      <c r="E14" s="28"/>
      <c r="F14" s="28"/>
      <c r="G14" s="28"/>
    </row>
    <row r="15" spans="1:14">
      <c r="A15" s="140"/>
      <c r="D15" s="28"/>
      <c r="E15" s="28"/>
      <c r="F15" s="28"/>
      <c r="G15" s="28"/>
    </row>
    <row r="16" spans="1:14">
      <c r="A16" s="140"/>
      <c r="D16" s="28"/>
      <c r="E16" s="28"/>
      <c r="F16" s="28"/>
      <c r="G16" s="28"/>
    </row>
    <row r="17" spans="1:7">
      <c r="A17" s="140"/>
      <c r="D17" s="28"/>
      <c r="E17" s="28"/>
      <c r="F17" s="28"/>
      <c r="G17" s="28"/>
    </row>
    <row r="18" spans="1:7">
      <c r="A18" s="140"/>
      <c r="D18" s="28"/>
      <c r="E18" s="28"/>
      <c r="F18" s="28"/>
      <c r="G18" s="28"/>
    </row>
    <row r="19" spans="1:7">
      <c r="A19" s="140"/>
      <c r="D19" s="28"/>
      <c r="E19" s="28"/>
      <c r="F19" s="28"/>
      <c r="G19" s="28"/>
    </row>
    <row r="20" spans="1:7">
      <c r="A20" s="140"/>
      <c r="D20" s="28"/>
      <c r="E20" s="28"/>
      <c r="F20" s="28"/>
      <c r="G20" s="28"/>
    </row>
    <row r="21" spans="1:7">
      <c r="A21" s="140"/>
      <c r="D21" s="28"/>
      <c r="E21" s="28"/>
      <c r="F21" s="28"/>
      <c r="G21" s="28"/>
    </row>
    <row r="22" spans="1:7">
      <c r="A22" s="140"/>
      <c r="D22" s="28"/>
      <c r="E22" s="28"/>
      <c r="F22" s="28"/>
      <c r="G22" s="28"/>
    </row>
    <row r="23" spans="1:7">
      <c r="A23" s="140"/>
      <c r="D23" s="28"/>
      <c r="E23" s="28"/>
      <c r="F23" s="28"/>
      <c r="G23" s="28"/>
    </row>
    <row r="24" spans="1:7">
      <c r="A24" s="140"/>
      <c r="D24" s="28"/>
      <c r="E24" s="28"/>
      <c r="F24" s="28"/>
      <c r="G24" s="28"/>
    </row>
    <row r="25" spans="1:7">
      <c r="A25" s="140"/>
      <c r="D25" s="28"/>
      <c r="E25" s="28"/>
      <c r="F25" s="28"/>
      <c r="G25" s="28"/>
    </row>
    <row r="26" spans="1:7">
      <c r="A26" s="140"/>
      <c r="D26" s="28"/>
      <c r="E26" s="28"/>
      <c r="F26" s="28"/>
      <c r="G26" s="28"/>
    </row>
    <row r="27" spans="1:7">
      <c r="A27" s="140"/>
      <c r="D27" s="28"/>
      <c r="E27" s="28"/>
      <c r="F27" s="28"/>
      <c r="G27" s="28"/>
    </row>
    <row r="28" spans="1:7">
      <c r="A28" s="140"/>
      <c r="D28" s="28"/>
      <c r="E28" s="28"/>
      <c r="F28" s="28"/>
      <c r="G28" s="28"/>
    </row>
    <row r="29" spans="1:7">
      <c r="A29" s="140"/>
      <c r="D29" s="28"/>
      <c r="E29" s="28"/>
      <c r="F29" s="28"/>
      <c r="G29" s="28"/>
    </row>
    <row r="30" spans="1:7">
      <c r="A30" s="140"/>
      <c r="D30" s="28"/>
      <c r="E30" s="28"/>
      <c r="F30" s="28"/>
      <c r="G30" s="28"/>
    </row>
    <row r="31" spans="1:7">
      <c r="A31" s="140"/>
      <c r="D31" s="28"/>
      <c r="E31" s="28"/>
      <c r="F31" s="28"/>
      <c r="G31" s="28"/>
    </row>
    <row r="32" spans="1:7">
      <c r="A32" s="140"/>
      <c r="D32" s="28"/>
      <c r="E32" s="28"/>
      <c r="F32" s="28"/>
      <c r="G32" s="28"/>
    </row>
    <row r="33" spans="1:7">
      <c r="A33" s="140"/>
      <c r="D33" s="28"/>
      <c r="E33" s="28"/>
      <c r="F33" s="28"/>
      <c r="G33" s="28"/>
    </row>
    <row r="34" spans="1:7">
      <c r="A34" s="140"/>
      <c r="D34" s="28"/>
      <c r="E34" s="28"/>
      <c r="F34" s="28"/>
      <c r="G34" s="28"/>
    </row>
    <row r="35" spans="1:7">
      <c r="A35" s="140"/>
      <c r="D35" s="28"/>
      <c r="E35" s="28"/>
      <c r="F35" s="28"/>
      <c r="G35" s="28"/>
    </row>
    <row r="36" spans="1:7">
      <c r="A36" s="140"/>
      <c r="D36" s="28"/>
      <c r="E36" s="28"/>
      <c r="F36" s="28"/>
      <c r="G36" s="28"/>
    </row>
    <row r="37" spans="1:7">
      <c r="A37" s="140"/>
      <c r="D37" s="28"/>
      <c r="E37" s="28"/>
      <c r="F37" s="28"/>
      <c r="G37" s="28"/>
    </row>
    <row r="38" spans="1:7">
      <c r="A38" s="140"/>
      <c r="D38" s="28"/>
      <c r="E38" s="28"/>
      <c r="F38" s="28"/>
      <c r="G38" s="28"/>
    </row>
    <row r="39" spans="1:7">
      <c r="A39" s="140"/>
      <c r="D39" s="28"/>
      <c r="E39" s="28"/>
      <c r="F39" s="28"/>
      <c r="G39" s="28"/>
    </row>
    <row r="40" spans="1:7">
      <c r="A40" s="140"/>
      <c r="D40" s="28"/>
      <c r="E40" s="28"/>
      <c r="F40" s="28"/>
      <c r="G40" s="28"/>
    </row>
    <row r="41" spans="1:7">
      <c r="A41" s="140"/>
      <c r="D41" s="28"/>
      <c r="E41" s="28"/>
      <c r="F41" s="28"/>
      <c r="G41" s="28"/>
    </row>
    <row r="42" spans="1:7">
      <c r="A42" s="140"/>
      <c r="D42" s="28"/>
      <c r="E42" s="28"/>
      <c r="F42" s="28"/>
      <c r="G42" s="28"/>
    </row>
    <row r="43" spans="1:7">
      <c r="A43" s="140"/>
      <c r="D43" s="28"/>
      <c r="E43" s="28"/>
      <c r="F43" s="28"/>
      <c r="G43" s="28"/>
    </row>
    <row r="44" spans="1:7">
      <c r="A44" s="140"/>
    </row>
    <row r="45" spans="1:7">
      <c r="A45" s="140"/>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517A2-6965-B447-9AFD-D1FB16CA5928}">
  <sheetPr codeName="Sheet25">
    <tabColor rgb="FF92D050"/>
  </sheetPr>
  <dimension ref="A1:AE27"/>
  <sheetViews>
    <sheetView workbookViewId="0"/>
  </sheetViews>
  <sheetFormatPr defaultColWidth="12" defaultRowHeight="15"/>
  <cols>
    <col min="1" max="1" width="21.28515625" customWidth="1"/>
    <col min="2" max="2" width="23" customWidth="1"/>
    <col min="3" max="3" width="35.7109375" bestFit="1" customWidth="1"/>
    <col min="4" max="4" width="15.42578125" bestFit="1" customWidth="1"/>
    <col min="5" max="5" width="22" bestFit="1" customWidth="1"/>
    <col min="6" max="6" width="15" bestFit="1" customWidth="1"/>
    <col min="7" max="7" width="21.7109375" customWidth="1"/>
    <col min="8" max="8" width="16.7109375" bestFit="1" customWidth="1"/>
    <col min="9" max="9" width="17.42578125" bestFit="1" customWidth="1"/>
    <col min="10" max="10" width="22.42578125" bestFit="1" customWidth="1"/>
    <col min="11" max="11" width="17.42578125" bestFit="1" customWidth="1"/>
    <col min="31" max="31" width="8.42578125" bestFit="1" customWidth="1"/>
  </cols>
  <sheetData>
    <row r="1" spans="1:31" s="1" customFormat="1">
      <c r="A1" s="1" t="s">
        <v>1874</v>
      </c>
      <c r="B1" s="1" t="s">
        <v>1875</v>
      </c>
      <c r="C1" s="1" t="s">
        <v>1876</v>
      </c>
      <c r="D1" s="348" t="s">
        <v>1877</v>
      </c>
      <c r="E1" s="348"/>
      <c r="F1" s="1" t="s">
        <v>1878</v>
      </c>
      <c r="G1" s="1" t="s">
        <v>1879</v>
      </c>
      <c r="H1" s="1" t="s">
        <v>1880</v>
      </c>
      <c r="I1" s="1" t="s">
        <v>1881</v>
      </c>
      <c r="J1" s="1" t="s">
        <v>1882</v>
      </c>
      <c r="K1" s="1" t="s">
        <v>1883</v>
      </c>
      <c r="AE1" s="1" t="e" cm="1">
        <f t="array" aca="1" ref="AE1" ca="1">CELL("filename", B1)</f>
        <v>#VALUE!</v>
      </c>
    </row>
    <row r="2" spans="1:31">
      <c r="C2" s="1"/>
      <c r="D2" s="4" t="s">
        <v>1884</v>
      </c>
      <c r="E2" t="s">
        <v>1885</v>
      </c>
      <c r="G2" t="s">
        <v>1886</v>
      </c>
      <c r="H2" t="s">
        <v>1887</v>
      </c>
      <c r="AE2" t="e" cm="1">
        <f t="array" aca="1" ref="AE2" ca="1">RIGHT(CELL("filename", B1), LEN(CELL("filename", B1)) - FIND("]", CELL("filename", B1)))</f>
        <v>#VALUE!</v>
      </c>
    </row>
    <row r="3" spans="1:31">
      <c r="A3">
        <v>41805936945</v>
      </c>
      <c r="B3" t="s">
        <v>174</v>
      </c>
      <c r="C3" s="4" t="s">
        <v>175</v>
      </c>
      <c r="D3" t="s">
        <v>1888</v>
      </c>
      <c r="E3" t="s">
        <v>1888</v>
      </c>
      <c r="F3" s="140" t="s">
        <v>1889</v>
      </c>
      <c r="G3" t="s">
        <v>1890</v>
      </c>
      <c r="H3" t="s">
        <v>1854</v>
      </c>
      <c r="I3" t="s">
        <v>1225</v>
      </c>
      <c r="J3" t="s">
        <v>1225</v>
      </c>
      <c r="K3" s="17">
        <v>46023</v>
      </c>
    </row>
    <row r="4" spans="1:31">
      <c r="A4">
        <v>41107497046</v>
      </c>
      <c r="B4" t="s">
        <v>169</v>
      </c>
      <c r="C4" s="4" t="s">
        <v>160</v>
      </c>
      <c r="D4" t="s">
        <v>1888</v>
      </c>
      <c r="E4" t="s">
        <v>1888</v>
      </c>
      <c r="F4" t="s">
        <v>1891</v>
      </c>
      <c r="G4" t="s">
        <v>1890</v>
      </c>
      <c r="H4" t="s">
        <v>1854</v>
      </c>
      <c r="I4" t="s">
        <v>1225</v>
      </c>
      <c r="J4" t="s">
        <v>1225</v>
      </c>
      <c r="K4" s="17">
        <v>46023</v>
      </c>
    </row>
    <row r="5" spans="1:31">
      <c r="A5">
        <v>41313740353</v>
      </c>
      <c r="B5" t="s">
        <v>736</v>
      </c>
      <c r="C5" s="4" t="s">
        <v>349</v>
      </c>
      <c r="D5" s="4" t="s">
        <v>663</v>
      </c>
      <c r="E5" t="s">
        <v>1888</v>
      </c>
      <c r="F5" t="s">
        <v>1891</v>
      </c>
      <c r="G5" t="s">
        <v>1890</v>
      </c>
      <c r="H5" t="s">
        <v>1854</v>
      </c>
      <c r="I5" t="s">
        <v>1225</v>
      </c>
      <c r="J5" t="s">
        <v>1225</v>
      </c>
      <c r="K5" s="17">
        <v>46023</v>
      </c>
    </row>
    <row r="6" spans="1:31">
      <c r="A6">
        <v>41507598856</v>
      </c>
      <c r="B6" t="s">
        <v>171</v>
      </c>
      <c r="C6" s="4" t="s">
        <v>337</v>
      </c>
      <c r="D6" s="4" t="s">
        <v>663</v>
      </c>
      <c r="E6" t="s">
        <v>1888</v>
      </c>
      <c r="F6" t="s">
        <v>1891</v>
      </c>
      <c r="G6" t="s">
        <v>1890</v>
      </c>
      <c r="H6" t="s">
        <v>1854</v>
      </c>
      <c r="I6" t="s">
        <v>1225</v>
      </c>
      <c r="J6" t="s">
        <v>1225</v>
      </c>
      <c r="K6" s="17">
        <v>46023</v>
      </c>
    </row>
    <row r="7" spans="1:31">
      <c r="A7">
        <v>41229384444</v>
      </c>
      <c r="B7" t="s">
        <v>743</v>
      </c>
      <c r="C7" s="4" t="s">
        <v>340</v>
      </c>
      <c r="D7" t="s">
        <v>1888</v>
      </c>
      <c r="E7" t="s">
        <v>1888</v>
      </c>
      <c r="F7" t="s">
        <v>1891</v>
      </c>
      <c r="G7" t="s">
        <v>1890</v>
      </c>
      <c r="H7" t="s">
        <v>1854</v>
      </c>
      <c r="I7" t="s">
        <v>1225</v>
      </c>
      <c r="J7" t="s">
        <v>1225</v>
      </c>
      <c r="K7" s="17">
        <v>46023</v>
      </c>
    </row>
    <row r="8" spans="1:31">
      <c r="A8">
        <v>41107497046</v>
      </c>
      <c r="B8" t="s">
        <v>169</v>
      </c>
      <c r="C8" s="4" t="s">
        <v>623</v>
      </c>
      <c r="D8" t="s">
        <v>1888</v>
      </c>
      <c r="E8" t="s">
        <v>1888</v>
      </c>
      <c r="F8" t="s">
        <v>1891</v>
      </c>
      <c r="G8" t="s">
        <v>1890</v>
      </c>
      <c r="H8" t="s">
        <v>1854</v>
      </c>
      <c r="I8" t="s">
        <v>1225</v>
      </c>
      <c r="J8" t="s">
        <v>1225</v>
      </c>
      <c r="K8" s="17">
        <v>46023</v>
      </c>
    </row>
    <row r="9" spans="1:31">
      <c r="A9">
        <v>41313740353</v>
      </c>
      <c r="B9" t="s">
        <v>736</v>
      </c>
      <c r="C9" s="4" t="s">
        <v>507</v>
      </c>
      <c r="D9" t="s">
        <v>1888</v>
      </c>
      <c r="E9" t="s">
        <v>1888</v>
      </c>
      <c r="F9" t="s">
        <v>1891</v>
      </c>
      <c r="G9" t="s">
        <v>1890</v>
      </c>
      <c r="H9" t="s">
        <v>1854</v>
      </c>
      <c r="I9" t="s">
        <v>1225</v>
      </c>
      <c r="J9" t="s">
        <v>1225</v>
      </c>
      <c r="K9" s="17">
        <v>46023</v>
      </c>
    </row>
    <row r="10" spans="1:31">
      <c r="B10" t="s">
        <v>151</v>
      </c>
      <c r="C10" s="4" t="s">
        <v>628</v>
      </c>
      <c r="D10" t="s">
        <v>1888</v>
      </c>
      <c r="E10" t="s">
        <v>1888</v>
      </c>
      <c r="F10" t="s">
        <v>1892</v>
      </c>
      <c r="K10" s="17" t="s">
        <v>1893</v>
      </c>
    </row>
    <row r="11" spans="1:31">
      <c r="B11" t="s">
        <v>151</v>
      </c>
      <c r="C11" s="4" t="s">
        <v>224</v>
      </c>
      <c r="D11" t="s">
        <v>1888</v>
      </c>
      <c r="E11" t="s">
        <v>1888</v>
      </c>
      <c r="F11" t="s">
        <v>1891</v>
      </c>
      <c r="G11" t="s">
        <v>1890</v>
      </c>
      <c r="H11" t="s">
        <v>1854</v>
      </c>
      <c r="I11" t="s">
        <v>1225</v>
      </c>
      <c r="J11" t="s">
        <v>1225</v>
      </c>
      <c r="K11" s="17">
        <v>46023</v>
      </c>
    </row>
    <row r="12" spans="1:31">
      <c r="A12">
        <v>41068980065</v>
      </c>
      <c r="B12" t="s">
        <v>747</v>
      </c>
      <c r="C12" s="4" t="s">
        <v>325</v>
      </c>
      <c r="D12" t="s">
        <v>1888</v>
      </c>
      <c r="E12" t="s">
        <v>1888</v>
      </c>
      <c r="F12" t="s">
        <v>1891</v>
      </c>
      <c r="G12" t="s">
        <v>1890</v>
      </c>
      <c r="H12" t="s">
        <v>1854</v>
      </c>
      <c r="I12" t="s">
        <v>1225</v>
      </c>
      <c r="J12" t="s">
        <v>1225</v>
      </c>
      <c r="K12" s="17">
        <v>46023</v>
      </c>
    </row>
    <row r="17" spans="13:13" ht="24">
      <c r="M17" s="131"/>
    </row>
    <row r="18" spans="13:13" ht="24">
      <c r="M18" s="131"/>
    </row>
    <row r="19" spans="13:13" ht="24">
      <c r="M19" s="131"/>
    </row>
    <row r="20" spans="13:13" ht="24">
      <c r="M20" s="131"/>
    </row>
    <row r="21" spans="13:13" ht="24">
      <c r="M21" s="131"/>
    </row>
    <row r="22" spans="13:13" ht="24">
      <c r="M22" s="131"/>
    </row>
    <row r="23" spans="13:13" ht="24">
      <c r="M23" s="131"/>
    </row>
    <row r="24" spans="13:13" ht="24">
      <c r="M24" s="131"/>
    </row>
    <row r="25" spans="13:13" ht="24">
      <c r="M25" s="131"/>
    </row>
    <row r="26" spans="13:13" ht="24">
      <c r="M26" s="131"/>
    </row>
    <row r="27" spans="13:13" ht="24">
      <c r="M27" s="131"/>
    </row>
  </sheetData>
  <mergeCells count="1">
    <mergeCell ref="D1:E1"/>
  </mergeCells>
  <conditionalFormatting sqref="K3:K38">
    <cfRule type="expression" dxfId="0" priority="1">
      <formula>AND(K3-TODAY()&lt;=7, K3-TODAY()&gt;=0)</formula>
    </cfRule>
  </conditionalFormatting>
  <pageMargins left="0.7" right="0.7" top="0.75" bottom="0.75" header="0.3" footer="0.3"/>
  <pageSetup paperSize="9" orientation="portrait" horizontalDpi="0" verticalDpi="0"/>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47BBC-A87B-434D-B57A-3AFF49AAE068}">
  <sheetPr codeName="Sheet27"/>
  <dimension ref="A1:G17"/>
  <sheetViews>
    <sheetView workbookViewId="0">
      <selection activeCell="F6" sqref="F6"/>
    </sheetView>
  </sheetViews>
  <sheetFormatPr defaultColWidth="11.42578125" defaultRowHeight="15"/>
  <cols>
    <col min="1" max="1" width="24.7109375" bestFit="1" customWidth="1"/>
    <col min="2" max="2" width="21.7109375" customWidth="1"/>
    <col min="3" max="3" width="16.42578125" customWidth="1"/>
    <col min="4" max="4" width="17.140625" customWidth="1"/>
    <col min="5" max="5" width="13.140625" customWidth="1"/>
    <col min="6" max="6" width="22.28515625" customWidth="1"/>
    <col min="7" max="7" width="17.5703125" customWidth="1"/>
    <col min="27" max="27" width="8.7109375" bestFit="1" customWidth="1"/>
  </cols>
  <sheetData>
    <row r="1" spans="1:7" s="1" customFormat="1">
      <c r="A1" s="1" t="s">
        <v>1894</v>
      </c>
      <c r="B1" s="1" t="s">
        <v>1895</v>
      </c>
      <c r="C1" s="1" t="s">
        <v>1378</v>
      </c>
      <c r="D1" s="1" t="s">
        <v>1842</v>
      </c>
      <c r="E1" s="1" t="s">
        <v>318</v>
      </c>
      <c r="F1" s="1" t="s">
        <v>1896</v>
      </c>
      <c r="G1" s="1" t="s">
        <v>320</v>
      </c>
    </row>
    <row r="2" spans="1:7" ht="60.75">
      <c r="A2" t="s">
        <v>1897</v>
      </c>
      <c r="B2" t="s">
        <v>1898</v>
      </c>
      <c r="C2" s="28" t="s">
        <v>1899</v>
      </c>
      <c r="D2" t="s">
        <v>171</v>
      </c>
      <c r="E2" s="103">
        <v>45946</v>
      </c>
      <c r="G2" s="271">
        <v>46113</v>
      </c>
    </row>
    <row r="3" spans="1:7" ht="30.75">
      <c r="A3" t="s">
        <v>1897</v>
      </c>
      <c r="B3" t="s">
        <v>1900</v>
      </c>
      <c r="C3" s="28" t="s">
        <v>1901</v>
      </c>
      <c r="D3" t="s">
        <v>736</v>
      </c>
      <c r="E3" s="103">
        <v>46078</v>
      </c>
      <c r="F3" t="s">
        <v>1902</v>
      </c>
    </row>
    <row r="4" spans="1:7">
      <c r="A4" t="s">
        <v>1897</v>
      </c>
      <c r="B4" t="s">
        <v>1903</v>
      </c>
      <c r="C4" s="28" t="s">
        <v>1901</v>
      </c>
      <c r="D4" t="s">
        <v>736</v>
      </c>
      <c r="E4" s="103">
        <v>46078</v>
      </c>
      <c r="F4" t="s">
        <v>1904</v>
      </c>
    </row>
    <row r="5" spans="1:7">
      <c r="C5" s="28"/>
    </row>
    <row r="6" spans="1:7">
      <c r="C6" s="28"/>
    </row>
    <row r="7" spans="1:7">
      <c r="C7" s="28"/>
    </row>
    <row r="8" spans="1:7">
      <c r="C8" s="28"/>
    </row>
    <row r="9" spans="1:7">
      <c r="C9" s="28"/>
    </row>
    <row r="10" spans="1:7">
      <c r="C10" s="28"/>
    </row>
    <row r="11" spans="1:7">
      <c r="C11" s="28"/>
    </row>
    <row r="12" spans="1:7">
      <c r="C12" s="28"/>
    </row>
    <row r="13" spans="1:7">
      <c r="C13" s="28"/>
    </row>
    <row r="14" spans="1:7">
      <c r="A14" s="200"/>
      <c r="B14" s="4"/>
      <c r="C14" s="34"/>
      <c r="D14" s="4"/>
    </row>
    <row r="15" spans="1:7">
      <c r="B15" s="4"/>
      <c r="C15" s="4"/>
      <c r="D15" s="4"/>
    </row>
    <row r="16" spans="1:7">
      <c r="B16" s="4"/>
      <c r="C16" s="4"/>
      <c r="D16" s="4"/>
    </row>
    <row r="17" spans="2:4">
      <c r="B17" s="4"/>
      <c r="C17" s="4"/>
      <c r="D17" s="4"/>
    </row>
  </sheetData>
  <pageMargins left="0.7" right="0.7" top="0.75" bottom="0.75" header="0.3" footer="0.3"/>
  <pageSetup paperSize="9" orientation="portrait" horizontalDpi="0" verticalDpi="0"/>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9D05E-8A8F-4E0D-9B98-D0B38E5CAC0E}">
  <dimension ref="A1:O69"/>
  <sheetViews>
    <sheetView workbookViewId="0">
      <pane ySplit="1" topLeftCell="A2" activePane="bottomLeft" state="frozen"/>
      <selection pane="bottomLeft" activeCell="B9" sqref="B9"/>
    </sheetView>
  </sheetViews>
  <sheetFormatPr defaultRowHeight="15"/>
  <cols>
    <col min="1" max="1" width="14.7109375" customWidth="1"/>
    <col min="2" max="3" width="22.42578125" customWidth="1"/>
    <col min="4" max="4" width="21.85546875" customWidth="1"/>
    <col min="5" max="5" width="25.42578125" customWidth="1"/>
    <col min="6" max="6" width="16.7109375" customWidth="1"/>
    <col min="7" max="7" width="11.7109375" customWidth="1"/>
    <col min="8" max="8" width="13.85546875" customWidth="1"/>
    <col min="9" max="9" width="22.28515625" customWidth="1"/>
    <col min="10" max="10" width="18" customWidth="1"/>
    <col min="11" max="11" width="13.85546875" customWidth="1"/>
    <col min="12" max="13" width="16.7109375" customWidth="1"/>
    <col min="14" max="14" width="25.5703125" customWidth="1"/>
    <col min="15" max="15" width="13.42578125" customWidth="1"/>
  </cols>
  <sheetData>
    <row r="1" spans="1:15">
      <c r="A1" s="1" t="s">
        <v>1905</v>
      </c>
      <c r="B1" s="1" t="s">
        <v>1906</v>
      </c>
      <c r="C1" s="1" t="s">
        <v>1907</v>
      </c>
      <c r="D1" s="1" t="s">
        <v>1908</v>
      </c>
      <c r="E1" s="1" t="s">
        <v>1909</v>
      </c>
      <c r="F1" s="1" t="s">
        <v>1910</v>
      </c>
      <c r="G1" s="1" t="s">
        <v>1911</v>
      </c>
      <c r="H1" s="1" t="s">
        <v>653</v>
      </c>
      <c r="I1" s="1" t="s">
        <v>1912</v>
      </c>
      <c r="J1" s="1" t="s">
        <v>1913</v>
      </c>
      <c r="K1" s="1" t="s">
        <v>1914</v>
      </c>
      <c r="L1" s="1" t="s">
        <v>1915</v>
      </c>
      <c r="M1" s="1" t="s">
        <v>1916</v>
      </c>
      <c r="N1" s="1" t="s">
        <v>1917</v>
      </c>
      <c r="O1" s="1" t="s">
        <v>365</v>
      </c>
    </row>
    <row r="2" spans="1:15" ht="60.75">
      <c r="A2">
        <v>41805936945</v>
      </c>
      <c r="B2" t="s">
        <v>174</v>
      </c>
      <c r="C2" t="s">
        <v>1918</v>
      </c>
      <c r="D2" t="s">
        <v>1919</v>
      </c>
      <c r="E2" s="28" t="s">
        <v>1920</v>
      </c>
      <c r="F2" t="s">
        <v>1921</v>
      </c>
      <c r="G2" t="s">
        <v>1922</v>
      </c>
      <c r="I2" s="140">
        <v>45936</v>
      </c>
      <c r="J2" t="s">
        <v>175</v>
      </c>
      <c r="K2" t="s">
        <v>1923</v>
      </c>
      <c r="L2" s="103">
        <v>45405</v>
      </c>
      <c r="N2" s="140">
        <v>46052</v>
      </c>
    </row>
    <row r="3" spans="1:15" ht="60.75">
      <c r="A3">
        <v>41068980065</v>
      </c>
      <c r="B3" t="s">
        <v>747</v>
      </c>
      <c r="C3" t="s">
        <v>1918</v>
      </c>
      <c r="D3" t="s">
        <v>1919</v>
      </c>
      <c r="E3" s="28" t="s">
        <v>1920</v>
      </c>
      <c r="F3" t="s">
        <v>1921</v>
      </c>
      <c r="G3" t="s">
        <v>1922</v>
      </c>
      <c r="I3" s="140"/>
      <c r="J3" t="s">
        <v>175</v>
      </c>
      <c r="K3" t="s">
        <v>1923</v>
      </c>
      <c r="L3" s="103">
        <v>45405</v>
      </c>
      <c r="N3" s="140">
        <v>46052</v>
      </c>
    </row>
    <row r="4" spans="1:15" ht="60.75">
      <c r="A4">
        <v>41107497046</v>
      </c>
      <c r="B4" t="s">
        <v>169</v>
      </c>
      <c r="C4" t="s">
        <v>1918</v>
      </c>
      <c r="D4" s="28" t="s">
        <v>1924</v>
      </c>
      <c r="E4" s="28" t="s">
        <v>1925</v>
      </c>
      <c r="F4" t="s">
        <v>1921</v>
      </c>
      <c r="G4" t="s">
        <v>1922</v>
      </c>
      <c r="I4" s="140"/>
      <c r="J4" t="s">
        <v>175</v>
      </c>
      <c r="K4" t="s">
        <v>1923</v>
      </c>
      <c r="L4" s="103">
        <v>45509</v>
      </c>
      <c r="N4" s="140">
        <v>46052</v>
      </c>
    </row>
    <row r="5" spans="1:15">
      <c r="A5" s="66" t="s">
        <v>1926</v>
      </c>
      <c r="B5" s="270" t="s">
        <v>1927</v>
      </c>
      <c r="C5" s="270" t="s">
        <v>1918</v>
      </c>
      <c r="D5" s="270" t="s">
        <v>1928</v>
      </c>
      <c r="E5" s="270" t="s">
        <v>1919</v>
      </c>
      <c r="F5" s="270" t="s">
        <v>1921</v>
      </c>
      <c r="G5" s="270" t="s">
        <v>1922</v>
      </c>
      <c r="I5" s="140"/>
      <c r="J5" t="s">
        <v>175</v>
      </c>
      <c r="K5" t="s">
        <v>1923</v>
      </c>
      <c r="L5" s="103">
        <v>45632</v>
      </c>
      <c r="N5" s="140">
        <v>46052</v>
      </c>
    </row>
    <row r="6" spans="1:15" ht="60.75">
      <c r="A6">
        <v>41313740353</v>
      </c>
      <c r="B6" t="s">
        <v>736</v>
      </c>
      <c r="C6" t="s">
        <v>1918</v>
      </c>
      <c r="D6" s="28" t="s">
        <v>1929</v>
      </c>
      <c r="E6" s="28" t="s">
        <v>1930</v>
      </c>
      <c r="F6" t="s">
        <v>1921</v>
      </c>
      <c r="G6" t="s">
        <v>1922</v>
      </c>
      <c r="I6" s="140">
        <v>45936</v>
      </c>
      <c r="J6" t="s">
        <v>175</v>
      </c>
      <c r="K6" t="s">
        <v>1923</v>
      </c>
      <c r="L6" s="103">
        <v>45531</v>
      </c>
      <c r="N6" s="140">
        <v>46052</v>
      </c>
    </row>
    <row r="7" spans="1:15" ht="30.75">
      <c r="A7">
        <v>41229384444</v>
      </c>
      <c r="B7" t="s">
        <v>743</v>
      </c>
      <c r="C7" t="s">
        <v>1897</v>
      </c>
      <c r="D7" s="4" t="s">
        <v>1931</v>
      </c>
      <c r="E7" s="28" t="s">
        <v>1932</v>
      </c>
      <c r="F7" t="s">
        <v>1933</v>
      </c>
      <c r="G7" t="s">
        <v>1934</v>
      </c>
      <c r="I7" s="140"/>
      <c r="J7" t="s">
        <v>175</v>
      </c>
      <c r="K7" t="s">
        <v>1923</v>
      </c>
      <c r="L7" s="103">
        <v>45531</v>
      </c>
      <c r="N7" s="140">
        <v>46052</v>
      </c>
    </row>
    <row r="8" spans="1:15" ht="30.75">
      <c r="A8" s="66" t="s">
        <v>1935</v>
      </c>
      <c r="B8" t="s">
        <v>1936</v>
      </c>
      <c r="C8" t="s">
        <v>1897</v>
      </c>
      <c r="D8" s="4" t="s">
        <v>1931</v>
      </c>
      <c r="E8" s="28" t="s">
        <v>1932</v>
      </c>
      <c r="F8" t="s">
        <v>1933</v>
      </c>
      <c r="G8" t="s">
        <v>1934</v>
      </c>
      <c r="I8" s="140"/>
      <c r="J8" t="s">
        <v>175</v>
      </c>
      <c r="K8" t="s">
        <v>1923</v>
      </c>
      <c r="L8" s="103">
        <v>45701</v>
      </c>
      <c r="N8" s="140">
        <v>46052</v>
      </c>
    </row>
    <row r="9" spans="1:15" ht="30.75">
      <c r="A9">
        <v>41784972614</v>
      </c>
      <c r="B9" t="s">
        <v>1900</v>
      </c>
      <c r="C9" t="s">
        <v>1897</v>
      </c>
      <c r="D9" s="4" t="s">
        <v>1931</v>
      </c>
      <c r="E9" s="28" t="s">
        <v>1932</v>
      </c>
      <c r="F9" t="s">
        <v>1933</v>
      </c>
      <c r="G9" t="s">
        <v>1934</v>
      </c>
      <c r="I9" s="140"/>
      <c r="J9" t="s">
        <v>175</v>
      </c>
      <c r="K9" t="s">
        <v>1923</v>
      </c>
      <c r="L9" s="103">
        <v>45806</v>
      </c>
      <c r="N9" s="140">
        <v>46052</v>
      </c>
    </row>
    <row r="10" spans="1:15" ht="30.75">
      <c r="A10" s="66" t="s">
        <v>1937</v>
      </c>
      <c r="B10" t="s">
        <v>1938</v>
      </c>
      <c r="C10" t="s">
        <v>1897</v>
      </c>
      <c r="D10" t="s">
        <v>1931</v>
      </c>
      <c r="E10" s="28" t="s">
        <v>1932</v>
      </c>
      <c r="F10" t="s">
        <v>1933</v>
      </c>
      <c r="G10" t="s">
        <v>1934</v>
      </c>
      <c r="I10" s="140"/>
      <c r="J10" t="s">
        <v>175</v>
      </c>
      <c r="K10" t="s">
        <v>1923</v>
      </c>
      <c r="L10" s="103">
        <v>45677</v>
      </c>
      <c r="N10" s="140">
        <v>46052</v>
      </c>
    </row>
    <row r="11" spans="1:15" ht="30.75">
      <c r="A11">
        <v>41507598856</v>
      </c>
      <c r="B11" t="s">
        <v>171</v>
      </c>
      <c r="C11" t="s">
        <v>1897</v>
      </c>
      <c r="D11" t="s">
        <v>1931</v>
      </c>
      <c r="E11" s="28" t="s">
        <v>1932</v>
      </c>
      <c r="F11" t="s">
        <v>1933</v>
      </c>
      <c r="G11" t="s">
        <v>1934</v>
      </c>
      <c r="I11" s="140"/>
      <c r="J11" t="s">
        <v>175</v>
      </c>
      <c r="K11" t="s">
        <v>1923</v>
      </c>
      <c r="L11" s="103">
        <v>45405</v>
      </c>
      <c r="N11" s="140">
        <v>46052</v>
      </c>
    </row>
    <row r="12" spans="1:15" ht="30.75">
      <c r="A12" s="66" t="s">
        <v>1939</v>
      </c>
      <c r="B12" t="s">
        <v>1940</v>
      </c>
      <c r="C12" t="s">
        <v>1941</v>
      </c>
      <c r="D12" t="s">
        <v>1931</v>
      </c>
      <c r="E12" s="28" t="s">
        <v>1932</v>
      </c>
      <c r="F12" t="s">
        <v>1933</v>
      </c>
      <c r="G12" t="s">
        <v>1934</v>
      </c>
      <c r="I12" s="140"/>
      <c r="J12" t="s">
        <v>175</v>
      </c>
      <c r="K12" t="s">
        <v>1923</v>
      </c>
      <c r="L12" s="103">
        <v>45857</v>
      </c>
      <c r="N12" s="140">
        <v>46052</v>
      </c>
    </row>
    <row r="13" spans="1:15" ht="30.75">
      <c r="A13" s="66" t="s">
        <v>1942</v>
      </c>
      <c r="B13" t="s">
        <v>1943</v>
      </c>
      <c r="C13" t="s">
        <v>1941</v>
      </c>
      <c r="D13" t="s">
        <v>1931</v>
      </c>
      <c r="E13" s="28" t="s">
        <v>1932</v>
      </c>
      <c r="F13" t="s">
        <v>1933</v>
      </c>
      <c r="G13" t="s">
        <v>1934</v>
      </c>
      <c r="I13" s="140"/>
      <c r="J13" t="s">
        <v>175</v>
      </c>
      <c r="K13" t="s">
        <v>1923</v>
      </c>
      <c r="L13" s="103">
        <v>45778</v>
      </c>
      <c r="N13" s="140">
        <v>46052</v>
      </c>
    </row>
    <row r="14" spans="1:15" ht="30.75">
      <c r="A14" s="252">
        <v>41193124908</v>
      </c>
      <c r="B14" t="s">
        <v>1903</v>
      </c>
      <c r="C14" t="s">
        <v>1897</v>
      </c>
      <c r="D14" t="s">
        <v>1931</v>
      </c>
      <c r="E14" s="28" t="s">
        <v>1932</v>
      </c>
      <c r="F14" t="s">
        <v>1933</v>
      </c>
      <c r="G14" t="s">
        <v>1934</v>
      </c>
      <c r="I14" s="140"/>
      <c r="J14" t="s">
        <v>175</v>
      </c>
      <c r="K14" t="s">
        <v>1923</v>
      </c>
      <c r="L14" s="103">
        <v>45897</v>
      </c>
      <c r="N14" s="140">
        <v>46052</v>
      </c>
    </row>
    <row r="15" spans="1:15" ht="30.75">
      <c r="A15" s="252">
        <v>41805936945</v>
      </c>
      <c r="B15" t="s">
        <v>174</v>
      </c>
      <c r="C15" t="s">
        <v>1944</v>
      </c>
      <c r="D15" t="s">
        <v>1945</v>
      </c>
      <c r="E15" s="28" t="s">
        <v>1946</v>
      </c>
      <c r="F15" t="s">
        <v>1921</v>
      </c>
      <c r="G15" t="s">
        <v>1922</v>
      </c>
      <c r="I15" s="140"/>
      <c r="J15" t="s">
        <v>175</v>
      </c>
      <c r="K15" t="s">
        <v>1923</v>
      </c>
      <c r="L15" s="103">
        <v>45680</v>
      </c>
      <c r="N15" s="140">
        <v>46052</v>
      </c>
    </row>
    <row r="16" spans="1:15" ht="30.75">
      <c r="A16" s="252">
        <v>41107497046</v>
      </c>
      <c r="B16" t="s">
        <v>169</v>
      </c>
      <c r="C16" t="s">
        <v>1944</v>
      </c>
      <c r="D16" t="s">
        <v>1945</v>
      </c>
      <c r="E16" s="28" t="s">
        <v>1946</v>
      </c>
      <c r="F16" t="s">
        <v>1921</v>
      </c>
      <c r="G16" t="s">
        <v>1922</v>
      </c>
      <c r="I16" s="140"/>
      <c r="J16" t="s">
        <v>175</v>
      </c>
      <c r="K16" t="s">
        <v>1923</v>
      </c>
      <c r="L16" s="103">
        <v>45680</v>
      </c>
      <c r="N16" s="140">
        <v>46052</v>
      </c>
    </row>
    <row r="17" spans="1:14" ht="30.75">
      <c r="A17" s="66" t="s">
        <v>1926</v>
      </c>
      <c r="B17" t="s">
        <v>1927</v>
      </c>
      <c r="C17" t="s">
        <v>1944</v>
      </c>
      <c r="D17" t="s">
        <v>1945</v>
      </c>
      <c r="E17" s="28" t="s">
        <v>1946</v>
      </c>
      <c r="F17" t="s">
        <v>1921</v>
      </c>
      <c r="G17" t="s">
        <v>1922</v>
      </c>
      <c r="I17" s="140"/>
      <c r="J17" t="s">
        <v>175</v>
      </c>
      <c r="K17" t="s">
        <v>1923</v>
      </c>
      <c r="L17" s="103">
        <v>45680</v>
      </c>
      <c r="N17" s="140">
        <v>46052</v>
      </c>
    </row>
    <row r="18" spans="1:14" ht="30.75">
      <c r="A18" s="252">
        <v>41805936945</v>
      </c>
      <c r="B18" t="s">
        <v>174</v>
      </c>
      <c r="C18" t="s">
        <v>1947</v>
      </c>
      <c r="D18" t="s">
        <v>1945</v>
      </c>
      <c r="E18" s="28" t="s">
        <v>1946</v>
      </c>
      <c r="F18" t="s">
        <v>1921</v>
      </c>
      <c r="G18" t="s">
        <v>1922</v>
      </c>
      <c r="I18" s="140"/>
      <c r="J18" t="s">
        <v>175</v>
      </c>
      <c r="K18" t="s">
        <v>1923</v>
      </c>
      <c r="L18" s="103">
        <v>45559</v>
      </c>
      <c r="N18" s="140">
        <v>46052</v>
      </c>
    </row>
    <row r="19" spans="1:14">
      <c r="A19">
        <v>41107497046</v>
      </c>
      <c r="B19" t="s">
        <v>169</v>
      </c>
      <c r="C19" t="s">
        <v>1948</v>
      </c>
      <c r="D19" s="4" t="s">
        <v>1949</v>
      </c>
      <c r="E19" t="s">
        <v>1950</v>
      </c>
      <c r="F19" t="s">
        <v>1921</v>
      </c>
      <c r="G19" t="s">
        <v>1922</v>
      </c>
      <c r="I19" s="140"/>
      <c r="J19" t="s">
        <v>175</v>
      </c>
      <c r="K19" t="s">
        <v>1923</v>
      </c>
      <c r="L19" s="103">
        <v>45629</v>
      </c>
      <c r="N19" s="140">
        <v>46052</v>
      </c>
    </row>
    <row r="20" spans="1:14">
      <c r="A20">
        <v>41313740353</v>
      </c>
      <c r="B20" t="s">
        <v>736</v>
      </c>
      <c r="C20" t="s">
        <v>1948</v>
      </c>
      <c r="D20" s="4" t="s">
        <v>1949</v>
      </c>
      <c r="E20" t="s">
        <v>1950</v>
      </c>
      <c r="F20" t="s">
        <v>1921</v>
      </c>
      <c r="G20" t="s">
        <v>1922</v>
      </c>
      <c r="I20" s="140"/>
      <c r="J20" t="s">
        <v>175</v>
      </c>
      <c r="K20" t="s">
        <v>1923</v>
      </c>
      <c r="L20" s="103">
        <v>45629</v>
      </c>
      <c r="N20" s="140">
        <v>46052</v>
      </c>
    </row>
    <row r="21" spans="1:14">
      <c r="A21">
        <v>41507598856</v>
      </c>
      <c r="B21" t="s">
        <v>171</v>
      </c>
      <c r="C21" t="s">
        <v>1948</v>
      </c>
      <c r="D21" s="4" t="s">
        <v>1949</v>
      </c>
      <c r="E21" t="s">
        <v>1951</v>
      </c>
      <c r="F21" t="s">
        <v>1921</v>
      </c>
      <c r="G21" t="s">
        <v>1922</v>
      </c>
      <c r="I21" s="140"/>
      <c r="J21" t="s">
        <v>175</v>
      </c>
      <c r="K21" t="s">
        <v>1923</v>
      </c>
      <c r="L21" s="103">
        <v>45629</v>
      </c>
      <c r="N21" s="140">
        <v>46052</v>
      </c>
    </row>
    <row r="22" spans="1:14" ht="30.75">
      <c r="A22">
        <v>41805936945</v>
      </c>
      <c r="B22" t="s">
        <v>174</v>
      </c>
      <c r="C22" s="28" t="s">
        <v>1952</v>
      </c>
      <c r="D22" t="s">
        <v>1270</v>
      </c>
      <c r="E22" s="28" t="s">
        <v>1953</v>
      </c>
      <c r="F22" t="s">
        <v>1954</v>
      </c>
      <c r="G22" t="s">
        <v>1922</v>
      </c>
      <c r="I22" s="140"/>
      <c r="J22" t="s">
        <v>175</v>
      </c>
      <c r="K22" t="s">
        <v>1923</v>
      </c>
      <c r="N22" s="140">
        <v>46052</v>
      </c>
    </row>
    <row r="23" spans="1:14" ht="45.75" customHeight="1">
      <c r="A23">
        <v>41068980065</v>
      </c>
      <c r="B23" t="s">
        <v>747</v>
      </c>
      <c r="C23" s="28" t="s">
        <v>1952</v>
      </c>
      <c r="D23" t="s">
        <v>1270</v>
      </c>
      <c r="E23" s="28" t="s">
        <v>1953</v>
      </c>
      <c r="F23" t="s">
        <v>1954</v>
      </c>
      <c r="G23" t="s">
        <v>1922</v>
      </c>
      <c r="I23" s="140"/>
      <c r="J23" t="s">
        <v>175</v>
      </c>
      <c r="K23" t="s">
        <v>1923</v>
      </c>
      <c r="N23" s="140">
        <v>46052</v>
      </c>
    </row>
    <row r="24" spans="1:14" ht="30.75">
      <c r="A24">
        <v>41107497046</v>
      </c>
      <c r="B24" t="s">
        <v>169</v>
      </c>
      <c r="C24" s="28" t="s">
        <v>1952</v>
      </c>
      <c r="D24" t="s">
        <v>1270</v>
      </c>
      <c r="E24" s="28" t="s">
        <v>1953</v>
      </c>
      <c r="F24" t="s">
        <v>1954</v>
      </c>
      <c r="G24" t="s">
        <v>1922</v>
      </c>
      <c r="I24" s="140"/>
      <c r="J24" t="s">
        <v>175</v>
      </c>
      <c r="K24" t="s">
        <v>1923</v>
      </c>
      <c r="N24" s="140">
        <v>46052</v>
      </c>
    </row>
    <row r="25" spans="1:14" ht="30.75">
      <c r="A25">
        <v>41313740353</v>
      </c>
      <c r="B25" t="s">
        <v>736</v>
      </c>
      <c r="C25" s="28" t="s">
        <v>1952</v>
      </c>
      <c r="D25" t="s">
        <v>1270</v>
      </c>
      <c r="E25" s="28" t="s">
        <v>1953</v>
      </c>
      <c r="F25" t="s">
        <v>1954</v>
      </c>
      <c r="G25" t="s">
        <v>1922</v>
      </c>
      <c r="I25" s="140">
        <v>46052</v>
      </c>
      <c r="J25" t="s">
        <v>175</v>
      </c>
      <c r="K25" t="s">
        <v>1923</v>
      </c>
      <c r="N25" s="140">
        <v>46052</v>
      </c>
    </row>
    <row r="26" spans="1:14" ht="30.75">
      <c r="A26" s="113">
        <v>41507598856</v>
      </c>
      <c r="B26" s="113" t="s">
        <v>171</v>
      </c>
      <c r="C26" s="28" t="s">
        <v>1952</v>
      </c>
      <c r="D26" s="113" t="s">
        <v>1928</v>
      </c>
      <c r="E26" s="212" t="s">
        <v>1955</v>
      </c>
      <c r="F26" s="113" t="s">
        <v>1954</v>
      </c>
      <c r="G26" s="113" t="s">
        <v>1934</v>
      </c>
      <c r="I26" s="140"/>
      <c r="J26" t="s">
        <v>175</v>
      </c>
      <c r="K26" t="s">
        <v>1923</v>
      </c>
      <c r="N26" s="140">
        <v>46052</v>
      </c>
    </row>
    <row r="27" spans="1:14" ht="30.75">
      <c r="A27" s="66" t="s">
        <v>1935</v>
      </c>
      <c r="B27" t="s">
        <v>1936</v>
      </c>
      <c r="C27" s="28" t="s">
        <v>1952</v>
      </c>
      <c r="D27" t="s">
        <v>1956</v>
      </c>
      <c r="E27" s="113" t="s">
        <v>1957</v>
      </c>
      <c r="F27" t="s">
        <v>1954</v>
      </c>
      <c r="G27" t="s">
        <v>1934</v>
      </c>
      <c r="I27" s="140"/>
      <c r="J27" t="s">
        <v>175</v>
      </c>
      <c r="K27" t="s">
        <v>1923</v>
      </c>
      <c r="N27" s="140">
        <v>46052</v>
      </c>
    </row>
    <row r="28" spans="1:14" ht="30.75">
      <c r="A28" s="66" t="s">
        <v>1937</v>
      </c>
      <c r="B28" t="s">
        <v>1938</v>
      </c>
      <c r="C28" s="28" t="s">
        <v>1952</v>
      </c>
      <c r="D28" t="s">
        <v>1956</v>
      </c>
      <c r="E28" s="113" t="s">
        <v>1957</v>
      </c>
      <c r="F28" t="s">
        <v>1954</v>
      </c>
      <c r="G28" t="s">
        <v>1934</v>
      </c>
      <c r="I28" s="140"/>
      <c r="J28" t="s">
        <v>175</v>
      </c>
      <c r="K28" t="s">
        <v>1923</v>
      </c>
      <c r="N28" s="140">
        <v>46052</v>
      </c>
    </row>
    <row r="29" spans="1:14" ht="30.75">
      <c r="A29" s="66" t="s">
        <v>1942</v>
      </c>
      <c r="B29" t="s">
        <v>1943</v>
      </c>
      <c r="C29" s="28" t="s">
        <v>1952</v>
      </c>
      <c r="D29" t="s">
        <v>1956</v>
      </c>
      <c r="E29" s="113" t="s">
        <v>1957</v>
      </c>
      <c r="F29" t="s">
        <v>1954</v>
      </c>
      <c r="G29" t="s">
        <v>1934</v>
      </c>
      <c r="I29" s="140"/>
      <c r="J29" t="s">
        <v>175</v>
      </c>
      <c r="K29" t="s">
        <v>1923</v>
      </c>
      <c r="N29" s="140">
        <v>46052</v>
      </c>
    </row>
    <row r="30" spans="1:14" ht="30.75">
      <c r="A30" s="66" t="s">
        <v>1958</v>
      </c>
      <c r="B30" t="s">
        <v>174</v>
      </c>
      <c r="C30" s="28" t="s">
        <v>1952</v>
      </c>
      <c r="D30" t="s">
        <v>1956</v>
      </c>
      <c r="E30" s="113" t="s">
        <v>1957</v>
      </c>
      <c r="F30" t="s">
        <v>1954</v>
      </c>
      <c r="G30" t="s">
        <v>1934</v>
      </c>
      <c r="I30" s="140"/>
      <c r="J30" t="s">
        <v>175</v>
      </c>
      <c r="K30" t="s">
        <v>1923</v>
      </c>
      <c r="N30" s="140">
        <v>46052</v>
      </c>
    </row>
    <row r="31" spans="1:14" ht="30.75">
      <c r="A31">
        <v>41229384444</v>
      </c>
      <c r="B31" t="s">
        <v>743</v>
      </c>
      <c r="C31" s="28" t="s">
        <v>1952</v>
      </c>
      <c r="D31" t="s">
        <v>1956</v>
      </c>
      <c r="E31" s="113" t="s">
        <v>1957</v>
      </c>
      <c r="F31" t="s">
        <v>1954</v>
      </c>
      <c r="G31" t="s">
        <v>1934</v>
      </c>
      <c r="I31" s="140"/>
      <c r="J31" t="s">
        <v>175</v>
      </c>
      <c r="K31" t="s">
        <v>1923</v>
      </c>
      <c r="N31" s="140">
        <v>46052</v>
      </c>
    </row>
    <row r="32" spans="1:14" ht="30.75">
      <c r="A32">
        <v>41784972614</v>
      </c>
      <c r="B32" t="s">
        <v>1900</v>
      </c>
      <c r="C32" s="28" t="s">
        <v>1952</v>
      </c>
      <c r="D32" t="s">
        <v>1956</v>
      </c>
      <c r="E32" s="113" t="s">
        <v>1957</v>
      </c>
      <c r="F32" t="s">
        <v>1954</v>
      </c>
      <c r="G32" t="s">
        <v>1934</v>
      </c>
      <c r="I32" s="140"/>
      <c r="J32" t="s">
        <v>175</v>
      </c>
      <c r="K32" t="s">
        <v>1923</v>
      </c>
      <c r="N32" s="140">
        <v>46052</v>
      </c>
    </row>
    <row r="33" spans="1:14" ht="30.75">
      <c r="A33" s="66" t="s">
        <v>1939</v>
      </c>
      <c r="B33" t="s">
        <v>1940</v>
      </c>
      <c r="C33" s="28" t="s">
        <v>1952</v>
      </c>
      <c r="D33" t="s">
        <v>1956</v>
      </c>
      <c r="E33" s="113" t="s">
        <v>1957</v>
      </c>
      <c r="F33" t="s">
        <v>1954</v>
      </c>
      <c r="G33" t="s">
        <v>1934</v>
      </c>
      <c r="I33" s="140"/>
      <c r="J33" t="s">
        <v>175</v>
      </c>
      <c r="K33" t="s">
        <v>1923</v>
      </c>
      <c r="N33" s="140">
        <v>46052</v>
      </c>
    </row>
    <row r="34" spans="1:14">
      <c r="A34" s="252"/>
      <c r="B34" s="113" t="s">
        <v>1959</v>
      </c>
      <c r="C34" s="113" t="s">
        <v>1960</v>
      </c>
      <c r="E34" s="28"/>
      <c r="I34" s="140"/>
      <c r="K34" t="s">
        <v>1923</v>
      </c>
      <c r="L34" s="103">
        <v>45467</v>
      </c>
      <c r="N34" s="140">
        <v>46052</v>
      </c>
    </row>
    <row r="35" spans="1:14" ht="60.75">
      <c r="A35">
        <v>41805936945</v>
      </c>
      <c r="B35" t="s">
        <v>174</v>
      </c>
      <c r="C35" t="s">
        <v>1918</v>
      </c>
      <c r="D35" t="s">
        <v>1919</v>
      </c>
      <c r="E35" s="28" t="s">
        <v>1920</v>
      </c>
      <c r="F35" t="s">
        <v>1921</v>
      </c>
      <c r="G35" t="s">
        <v>1922</v>
      </c>
      <c r="I35" s="140">
        <v>45936</v>
      </c>
      <c r="J35" t="s">
        <v>175</v>
      </c>
      <c r="K35" t="s">
        <v>1923</v>
      </c>
      <c r="L35" s="103">
        <v>45405</v>
      </c>
      <c r="N35" s="140">
        <v>45936</v>
      </c>
    </row>
    <row r="36" spans="1:14" ht="60.75">
      <c r="A36">
        <v>41068980065</v>
      </c>
      <c r="B36" t="s">
        <v>747</v>
      </c>
      <c r="C36" t="s">
        <v>1918</v>
      </c>
      <c r="D36" t="s">
        <v>1919</v>
      </c>
      <c r="E36" s="28" t="s">
        <v>1920</v>
      </c>
      <c r="F36" t="s">
        <v>1921</v>
      </c>
      <c r="G36" t="s">
        <v>1922</v>
      </c>
      <c r="I36" s="140"/>
      <c r="J36" t="s">
        <v>175</v>
      </c>
      <c r="K36" t="s">
        <v>1923</v>
      </c>
      <c r="L36" s="103">
        <v>45405</v>
      </c>
      <c r="N36" s="140">
        <v>45936</v>
      </c>
    </row>
    <row r="37" spans="1:14" ht="60.75">
      <c r="A37">
        <v>41107497046</v>
      </c>
      <c r="B37" t="s">
        <v>169</v>
      </c>
      <c r="C37" t="s">
        <v>1918</v>
      </c>
      <c r="D37" s="28" t="s">
        <v>1924</v>
      </c>
      <c r="E37" s="28" t="s">
        <v>1925</v>
      </c>
      <c r="F37" t="s">
        <v>1921</v>
      </c>
      <c r="G37" t="s">
        <v>1922</v>
      </c>
      <c r="I37" s="140"/>
      <c r="J37" t="s">
        <v>175</v>
      </c>
      <c r="K37" t="s">
        <v>1923</v>
      </c>
      <c r="L37" s="103">
        <v>45509</v>
      </c>
      <c r="N37" s="140">
        <v>45936</v>
      </c>
    </row>
    <row r="38" spans="1:14">
      <c r="A38" s="66" t="s">
        <v>1926</v>
      </c>
      <c r="B38" s="270" t="s">
        <v>1927</v>
      </c>
      <c r="C38" s="270" t="s">
        <v>1918</v>
      </c>
      <c r="D38" s="270" t="s">
        <v>1928</v>
      </c>
      <c r="E38" s="270" t="s">
        <v>1919</v>
      </c>
      <c r="F38" s="270" t="s">
        <v>1921</v>
      </c>
      <c r="G38" s="270" t="s">
        <v>1922</v>
      </c>
      <c r="I38" s="140"/>
      <c r="J38" t="s">
        <v>175</v>
      </c>
      <c r="K38" t="s">
        <v>1923</v>
      </c>
      <c r="L38" s="103">
        <v>45632</v>
      </c>
      <c r="N38" s="140">
        <v>45936</v>
      </c>
    </row>
    <row r="39" spans="1:14" ht="60.75">
      <c r="A39">
        <v>41313740353</v>
      </c>
      <c r="B39" t="s">
        <v>736</v>
      </c>
      <c r="C39" t="s">
        <v>1918</v>
      </c>
      <c r="D39" s="28" t="s">
        <v>1929</v>
      </c>
      <c r="E39" s="28" t="s">
        <v>1930</v>
      </c>
      <c r="F39" t="s">
        <v>1921</v>
      </c>
      <c r="G39" t="s">
        <v>1922</v>
      </c>
      <c r="I39" s="140">
        <v>45936</v>
      </c>
      <c r="J39" t="s">
        <v>175</v>
      </c>
      <c r="K39" t="s">
        <v>1923</v>
      </c>
      <c r="L39" s="103">
        <v>45531</v>
      </c>
      <c r="N39" s="140">
        <v>45936</v>
      </c>
    </row>
    <row r="40" spans="1:14" ht="30.75">
      <c r="A40">
        <v>41229384444</v>
      </c>
      <c r="B40" t="s">
        <v>743</v>
      </c>
      <c r="C40" t="s">
        <v>1897</v>
      </c>
      <c r="D40" s="4" t="s">
        <v>1931</v>
      </c>
      <c r="E40" s="28" t="s">
        <v>1932</v>
      </c>
      <c r="F40" t="s">
        <v>1933</v>
      </c>
      <c r="G40" t="s">
        <v>1934</v>
      </c>
      <c r="I40" s="140"/>
      <c r="J40" t="s">
        <v>175</v>
      </c>
      <c r="K40" t="s">
        <v>1923</v>
      </c>
      <c r="L40" s="103">
        <v>45531</v>
      </c>
      <c r="N40" s="140">
        <v>45936</v>
      </c>
    </row>
    <row r="41" spans="1:14" ht="30.75">
      <c r="A41" s="66" t="s">
        <v>1935</v>
      </c>
      <c r="B41" t="s">
        <v>1936</v>
      </c>
      <c r="C41" t="s">
        <v>1897</v>
      </c>
      <c r="D41" s="4" t="s">
        <v>1931</v>
      </c>
      <c r="E41" s="28" t="s">
        <v>1932</v>
      </c>
      <c r="F41" t="s">
        <v>1933</v>
      </c>
      <c r="G41" t="s">
        <v>1934</v>
      </c>
      <c r="I41" s="140"/>
      <c r="J41" t="s">
        <v>175</v>
      </c>
      <c r="K41" t="s">
        <v>1923</v>
      </c>
      <c r="L41" s="103">
        <v>45701</v>
      </c>
      <c r="N41" s="140">
        <v>45936</v>
      </c>
    </row>
    <row r="42" spans="1:14" ht="30.75">
      <c r="A42">
        <v>41784972614</v>
      </c>
      <c r="B42" t="s">
        <v>1900</v>
      </c>
      <c r="C42" t="s">
        <v>1897</v>
      </c>
      <c r="D42" s="4" t="s">
        <v>1931</v>
      </c>
      <c r="E42" s="28" t="s">
        <v>1932</v>
      </c>
      <c r="F42" t="s">
        <v>1933</v>
      </c>
      <c r="G42" t="s">
        <v>1934</v>
      </c>
      <c r="I42" s="140"/>
      <c r="J42" t="s">
        <v>175</v>
      </c>
      <c r="K42" t="s">
        <v>1923</v>
      </c>
      <c r="L42" s="103">
        <v>45806</v>
      </c>
      <c r="N42" s="140">
        <v>45936</v>
      </c>
    </row>
    <row r="43" spans="1:14" ht="30.75">
      <c r="A43" s="66" t="s">
        <v>1937</v>
      </c>
      <c r="B43" t="s">
        <v>1938</v>
      </c>
      <c r="C43" t="s">
        <v>1897</v>
      </c>
      <c r="D43" t="s">
        <v>1931</v>
      </c>
      <c r="E43" s="28" t="s">
        <v>1932</v>
      </c>
      <c r="F43" t="s">
        <v>1933</v>
      </c>
      <c r="G43" t="s">
        <v>1934</v>
      </c>
      <c r="I43" s="140"/>
      <c r="J43" t="s">
        <v>175</v>
      </c>
      <c r="K43" t="s">
        <v>1923</v>
      </c>
      <c r="L43" s="103">
        <v>45677</v>
      </c>
      <c r="N43" s="140">
        <v>45936</v>
      </c>
    </row>
    <row r="44" spans="1:14" ht="30.75">
      <c r="A44">
        <v>41507598856</v>
      </c>
      <c r="B44" t="s">
        <v>171</v>
      </c>
      <c r="C44" t="s">
        <v>1897</v>
      </c>
      <c r="D44" t="s">
        <v>1931</v>
      </c>
      <c r="E44" s="28" t="s">
        <v>1932</v>
      </c>
      <c r="F44" t="s">
        <v>1933</v>
      </c>
      <c r="G44" t="s">
        <v>1934</v>
      </c>
      <c r="I44" s="140"/>
      <c r="J44" t="s">
        <v>175</v>
      </c>
      <c r="K44" t="s">
        <v>1923</v>
      </c>
      <c r="L44" s="103">
        <v>45405</v>
      </c>
      <c r="N44" s="140">
        <v>45936</v>
      </c>
    </row>
    <row r="45" spans="1:14" ht="30.75">
      <c r="A45" s="66" t="s">
        <v>1939</v>
      </c>
      <c r="B45" t="s">
        <v>1940</v>
      </c>
      <c r="C45" t="s">
        <v>1941</v>
      </c>
      <c r="D45" t="s">
        <v>1931</v>
      </c>
      <c r="E45" s="28" t="s">
        <v>1932</v>
      </c>
      <c r="F45" t="s">
        <v>1933</v>
      </c>
      <c r="G45" t="s">
        <v>1934</v>
      </c>
      <c r="I45" s="140"/>
      <c r="J45" t="s">
        <v>175</v>
      </c>
      <c r="K45" t="s">
        <v>1923</v>
      </c>
      <c r="L45" s="103">
        <v>45857</v>
      </c>
      <c r="N45" s="140">
        <v>45936</v>
      </c>
    </row>
    <row r="46" spans="1:14" ht="30.75">
      <c r="A46" s="66" t="s">
        <v>1942</v>
      </c>
      <c r="B46" t="s">
        <v>1943</v>
      </c>
      <c r="C46" t="s">
        <v>1941</v>
      </c>
      <c r="D46" t="s">
        <v>1931</v>
      </c>
      <c r="E46" s="28" t="s">
        <v>1932</v>
      </c>
      <c r="F46" t="s">
        <v>1933</v>
      </c>
      <c r="G46" t="s">
        <v>1934</v>
      </c>
      <c r="I46" s="140"/>
      <c r="J46" t="s">
        <v>175</v>
      </c>
      <c r="K46" t="s">
        <v>1923</v>
      </c>
      <c r="L46" s="103">
        <v>45778</v>
      </c>
      <c r="N46" s="140">
        <v>45936</v>
      </c>
    </row>
    <row r="47" spans="1:14" ht="30.75">
      <c r="A47" s="252">
        <v>41193124908</v>
      </c>
      <c r="B47" t="s">
        <v>1903</v>
      </c>
      <c r="C47" t="s">
        <v>1897</v>
      </c>
      <c r="D47" t="s">
        <v>1931</v>
      </c>
      <c r="E47" s="28" t="s">
        <v>1932</v>
      </c>
      <c r="F47" t="s">
        <v>1933</v>
      </c>
      <c r="G47" t="s">
        <v>1934</v>
      </c>
      <c r="I47" s="140"/>
      <c r="J47" t="s">
        <v>175</v>
      </c>
      <c r="K47" t="s">
        <v>1923</v>
      </c>
      <c r="L47" s="103">
        <v>45897</v>
      </c>
      <c r="M47" s="103"/>
      <c r="N47" s="140">
        <v>45936</v>
      </c>
    </row>
    <row r="48" spans="1:14">
      <c r="A48" s="252"/>
      <c r="B48" s="113" t="s">
        <v>1959</v>
      </c>
      <c r="C48" s="113" t="s">
        <v>1960</v>
      </c>
      <c r="E48" s="28"/>
      <c r="I48" s="140"/>
      <c r="K48" t="s">
        <v>1923</v>
      </c>
      <c r="L48" s="103">
        <v>45467</v>
      </c>
      <c r="M48" s="103"/>
      <c r="N48" s="140">
        <v>45936</v>
      </c>
    </row>
    <row r="49" spans="1:14" ht="30.75">
      <c r="A49" s="252">
        <v>41805936945</v>
      </c>
      <c r="B49" t="s">
        <v>174</v>
      </c>
      <c r="C49" t="s">
        <v>1944</v>
      </c>
      <c r="D49" t="s">
        <v>1945</v>
      </c>
      <c r="E49" s="28" t="s">
        <v>1946</v>
      </c>
      <c r="F49" t="s">
        <v>1921</v>
      </c>
      <c r="G49" t="s">
        <v>1922</v>
      </c>
      <c r="I49" s="140"/>
      <c r="J49" t="s">
        <v>175</v>
      </c>
      <c r="K49" t="s">
        <v>1923</v>
      </c>
      <c r="L49" s="103">
        <v>45680</v>
      </c>
      <c r="M49" s="103"/>
      <c r="N49" s="140">
        <v>45936</v>
      </c>
    </row>
    <row r="50" spans="1:14" ht="30.75">
      <c r="A50" s="252">
        <v>41107497046</v>
      </c>
      <c r="B50" t="s">
        <v>169</v>
      </c>
      <c r="C50" t="s">
        <v>1944</v>
      </c>
      <c r="D50" t="s">
        <v>1945</v>
      </c>
      <c r="E50" s="28" t="s">
        <v>1946</v>
      </c>
      <c r="F50" t="s">
        <v>1921</v>
      </c>
      <c r="G50" t="s">
        <v>1922</v>
      </c>
      <c r="I50" s="140"/>
      <c r="J50" t="s">
        <v>175</v>
      </c>
      <c r="K50" t="s">
        <v>1923</v>
      </c>
      <c r="L50" s="103">
        <v>45680</v>
      </c>
      <c r="M50" s="103"/>
      <c r="N50" s="140">
        <v>45936</v>
      </c>
    </row>
    <row r="51" spans="1:14" ht="30.75">
      <c r="A51" s="66" t="s">
        <v>1926</v>
      </c>
      <c r="B51" t="s">
        <v>1927</v>
      </c>
      <c r="C51" t="s">
        <v>1944</v>
      </c>
      <c r="D51" t="s">
        <v>1945</v>
      </c>
      <c r="E51" s="28" t="s">
        <v>1946</v>
      </c>
      <c r="F51" t="s">
        <v>1921</v>
      </c>
      <c r="G51" t="s">
        <v>1922</v>
      </c>
      <c r="I51" s="140"/>
      <c r="J51" t="s">
        <v>175</v>
      </c>
      <c r="K51" t="s">
        <v>1923</v>
      </c>
      <c r="L51" s="103">
        <v>45680</v>
      </c>
      <c r="M51" s="103"/>
      <c r="N51" s="140">
        <v>45936</v>
      </c>
    </row>
    <row r="52" spans="1:14" ht="30.75">
      <c r="A52" s="252">
        <v>41805936945</v>
      </c>
      <c r="B52" t="s">
        <v>174</v>
      </c>
      <c r="C52" t="s">
        <v>1947</v>
      </c>
      <c r="D52" t="s">
        <v>1945</v>
      </c>
      <c r="E52" s="28" t="s">
        <v>1946</v>
      </c>
      <c r="F52" t="s">
        <v>1921</v>
      </c>
      <c r="G52" t="s">
        <v>1922</v>
      </c>
      <c r="I52" s="140"/>
      <c r="J52" t="s">
        <v>175</v>
      </c>
      <c r="K52" t="s">
        <v>1923</v>
      </c>
      <c r="L52" s="103">
        <v>45559</v>
      </c>
      <c r="M52" s="103"/>
      <c r="N52" s="140">
        <v>45936</v>
      </c>
    </row>
    <row r="53" spans="1:14">
      <c r="A53">
        <v>41107497046</v>
      </c>
      <c r="B53" t="s">
        <v>169</v>
      </c>
      <c r="C53" t="s">
        <v>1948</v>
      </c>
      <c r="D53" s="4" t="s">
        <v>1949</v>
      </c>
      <c r="E53" t="s">
        <v>1950</v>
      </c>
      <c r="F53" t="s">
        <v>1921</v>
      </c>
      <c r="G53" t="s">
        <v>1922</v>
      </c>
      <c r="I53" s="140"/>
      <c r="J53" t="s">
        <v>175</v>
      </c>
      <c r="K53" t="s">
        <v>1923</v>
      </c>
      <c r="L53" s="103">
        <v>45629</v>
      </c>
      <c r="M53" s="103"/>
      <c r="N53" s="140">
        <v>45936</v>
      </c>
    </row>
    <row r="54" spans="1:14">
      <c r="A54">
        <v>41313740353</v>
      </c>
      <c r="B54" t="s">
        <v>736</v>
      </c>
      <c r="C54" t="s">
        <v>1948</v>
      </c>
      <c r="D54" s="4" t="s">
        <v>1949</v>
      </c>
      <c r="E54" t="s">
        <v>1950</v>
      </c>
      <c r="F54" t="s">
        <v>1921</v>
      </c>
      <c r="G54" t="s">
        <v>1922</v>
      </c>
      <c r="I54" s="140">
        <v>46052</v>
      </c>
      <c r="J54" t="s">
        <v>175</v>
      </c>
      <c r="K54" t="s">
        <v>1923</v>
      </c>
      <c r="L54" s="103">
        <v>45629</v>
      </c>
      <c r="M54" s="103"/>
      <c r="N54" s="140">
        <v>45936</v>
      </c>
    </row>
    <row r="55" spans="1:14">
      <c r="A55">
        <v>41507598856</v>
      </c>
      <c r="B55" t="s">
        <v>171</v>
      </c>
      <c r="C55" t="s">
        <v>1948</v>
      </c>
      <c r="D55" s="4" t="s">
        <v>1949</v>
      </c>
      <c r="E55" t="s">
        <v>1951</v>
      </c>
      <c r="F55" t="s">
        <v>1921</v>
      </c>
      <c r="G55" t="s">
        <v>1922</v>
      </c>
      <c r="I55" s="140"/>
      <c r="J55" t="s">
        <v>175</v>
      </c>
      <c r="K55" t="s">
        <v>1923</v>
      </c>
      <c r="L55" s="103">
        <v>45629</v>
      </c>
      <c r="M55" s="103"/>
      <c r="N55" s="140">
        <v>45936</v>
      </c>
    </row>
    <row r="56" spans="1:14" ht="30.75">
      <c r="A56">
        <v>41805936945</v>
      </c>
      <c r="B56" t="s">
        <v>174</v>
      </c>
      <c r="C56" s="28" t="s">
        <v>1952</v>
      </c>
      <c r="D56" t="s">
        <v>1270</v>
      </c>
      <c r="E56" s="28" t="s">
        <v>1953</v>
      </c>
      <c r="F56" t="s">
        <v>1954</v>
      </c>
      <c r="G56" t="s">
        <v>1922</v>
      </c>
      <c r="I56" s="140"/>
      <c r="J56" t="s">
        <v>175</v>
      </c>
      <c r="K56" t="s">
        <v>1923</v>
      </c>
      <c r="N56" s="140">
        <v>45936</v>
      </c>
    </row>
    <row r="57" spans="1:14" ht="30.75">
      <c r="A57">
        <v>41068980065</v>
      </c>
      <c r="B57" t="s">
        <v>747</v>
      </c>
      <c r="C57" s="28" t="s">
        <v>1952</v>
      </c>
      <c r="D57" t="s">
        <v>1270</v>
      </c>
      <c r="E57" s="28" t="s">
        <v>1953</v>
      </c>
      <c r="F57" t="s">
        <v>1954</v>
      </c>
      <c r="G57" t="s">
        <v>1922</v>
      </c>
      <c r="I57" s="140"/>
      <c r="J57" t="s">
        <v>175</v>
      </c>
      <c r="K57" t="s">
        <v>1923</v>
      </c>
      <c r="N57" s="140">
        <v>45936</v>
      </c>
    </row>
    <row r="58" spans="1:14" ht="30.75">
      <c r="A58">
        <v>41107497046</v>
      </c>
      <c r="B58" t="s">
        <v>169</v>
      </c>
      <c r="C58" s="28" t="s">
        <v>1952</v>
      </c>
      <c r="D58" t="s">
        <v>1270</v>
      </c>
      <c r="E58" s="28" t="s">
        <v>1953</v>
      </c>
      <c r="F58" t="s">
        <v>1954</v>
      </c>
      <c r="G58" t="s">
        <v>1922</v>
      </c>
      <c r="I58" s="140"/>
      <c r="J58" t="s">
        <v>175</v>
      </c>
      <c r="K58" t="s">
        <v>1923</v>
      </c>
      <c r="N58" s="140">
        <v>45936</v>
      </c>
    </row>
    <row r="59" spans="1:14" ht="30.75">
      <c r="A59">
        <v>41313740353</v>
      </c>
      <c r="B59" t="s">
        <v>736</v>
      </c>
      <c r="C59" s="28" t="s">
        <v>1952</v>
      </c>
      <c r="D59" t="s">
        <v>1270</v>
      </c>
      <c r="E59" s="28" t="s">
        <v>1953</v>
      </c>
      <c r="F59" t="s">
        <v>1954</v>
      </c>
      <c r="G59" t="s">
        <v>1922</v>
      </c>
      <c r="I59" s="140">
        <v>46052</v>
      </c>
      <c r="J59" t="s">
        <v>175</v>
      </c>
      <c r="K59" t="s">
        <v>1923</v>
      </c>
      <c r="N59" s="140">
        <v>45936</v>
      </c>
    </row>
    <row r="60" spans="1:14" ht="30.75">
      <c r="A60" s="113">
        <v>41507598856</v>
      </c>
      <c r="B60" s="113" t="s">
        <v>171</v>
      </c>
      <c r="C60" s="28" t="s">
        <v>1952</v>
      </c>
      <c r="D60" s="113" t="s">
        <v>1928</v>
      </c>
      <c r="E60" s="212" t="s">
        <v>1955</v>
      </c>
      <c r="F60" s="113" t="s">
        <v>1954</v>
      </c>
      <c r="G60" s="113" t="s">
        <v>1934</v>
      </c>
      <c r="I60" s="140"/>
      <c r="J60" t="s">
        <v>175</v>
      </c>
      <c r="K60" t="s">
        <v>1923</v>
      </c>
      <c r="N60" s="140">
        <v>45936</v>
      </c>
    </row>
    <row r="61" spans="1:14" ht="30.75">
      <c r="A61" s="66" t="s">
        <v>1935</v>
      </c>
      <c r="B61" t="s">
        <v>1936</v>
      </c>
      <c r="C61" s="28" t="s">
        <v>1952</v>
      </c>
      <c r="D61" t="s">
        <v>1956</v>
      </c>
      <c r="E61" s="113" t="s">
        <v>1957</v>
      </c>
      <c r="F61" t="s">
        <v>1954</v>
      </c>
      <c r="G61" t="s">
        <v>1934</v>
      </c>
      <c r="I61" s="140"/>
      <c r="J61" t="s">
        <v>175</v>
      </c>
      <c r="K61" t="s">
        <v>1923</v>
      </c>
      <c r="N61" s="140">
        <v>45936</v>
      </c>
    </row>
    <row r="62" spans="1:14" ht="30.75">
      <c r="A62" s="66" t="s">
        <v>1937</v>
      </c>
      <c r="B62" t="s">
        <v>1938</v>
      </c>
      <c r="C62" s="28" t="s">
        <v>1952</v>
      </c>
      <c r="D62" t="s">
        <v>1956</v>
      </c>
      <c r="E62" s="113" t="s">
        <v>1957</v>
      </c>
      <c r="F62" t="s">
        <v>1954</v>
      </c>
      <c r="G62" t="s">
        <v>1934</v>
      </c>
      <c r="I62" s="140"/>
      <c r="J62" t="s">
        <v>175</v>
      </c>
      <c r="K62" t="s">
        <v>1923</v>
      </c>
      <c r="N62" s="140">
        <v>45936</v>
      </c>
    </row>
    <row r="63" spans="1:14" ht="30.75">
      <c r="A63" s="66" t="s">
        <v>1942</v>
      </c>
      <c r="B63" t="s">
        <v>1943</v>
      </c>
      <c r="C63" s="28" t="s">
        <v>1952</v>
      </c>
      <c r="D63" t="s">
        <v>1956</v>
      </c>
      <c r="E63" s="113" t="s">
        <v>1957</v>
      </c>
      <c r="F63" t="s">
        <v>1954</v>
      </c>
      <c r="G63" t="s">
        <v>1934</v>
      </c>
      <c r="I63" s="140"/>
      <c r="J63" t="s">
        <v>175</v>
      </c>
      <c r="K63" t="s">
        <v>1923</v>
      </c>
      <c r="N63" s="140">
        <v>45936</v>
      </c>
    </row>
    <row r="64" spans="1:14" ht="30.75">
      <c r="A64" s="66" t="s">
        <v>1958</v>
      </c>
      <c r="B64" t="s">
        <v>174</v>
      </c>
      <c r="C64" s="28" t="s">
        <v>1952</v>
      </c>
      <c r="D64" t="s">
        <v>1956</v>
      </c>
      <c r="E64" s="113" t="s">
        <v>1957</v>
      </c>
      <c r="F64" t="s">
        <v>1954</v>
      </c>
      <c r="G64" t="s">
        <v>1934</v>
      </c>
      <c r="I64" s="140"/>
      <c r="J64" t="s">
        <v>175</v>
      </c>
      <c r="K64" t="s">
        <v>1923</v>
      </c>
      <c r="N64" s="140">
        <v>45936</v>
      </c>
    </row>
    <row r="65" spans="1:14" ht="30.75">
      <c r="A65">
        <v>41229384444</v>
      </c>
      <c r="B65" t="s">
        <v>743</v>
      </c>
      <c r="C65" s="28" t="s">
        <v>1952</v>
      </c>
      <c r="D65" t="s">
        <v>1956</v>
      </c>
      <c r="E65" s="113" t="s">
        <v>1957</v>
      </c>
      <c r="F65" t="s">
        <v>1954</v>
      </c>
      <c r="G65" t="s">
        <v>1934</v>
      </c>
      <c r="I65" s="140"/>
      <c r="J65" t="s">
        <v>175</v>
      </c>
      <c r="K65" t="s">
        <v>1923</v>
      </c>
      <c r="N65" s="140">
        <v>45936</v>
      </c>
    </row>
    <row r="66" spans="1:14" ht="30.75">
      <c r="A66">
        <v>41784972614</v>
      </c>
      <c r="B66" t="s">
        <v>1900</v>
      </c>
      <c r="C66" s="28" t="s">
        <v>1952</v>
      </c>
      <c r="D66" t="s">
        <v>1956</v>
      </c>
      <c r="E66" s="113" t="s">
        <v>1957</v>
      </c>
      <c r="F66" t="s">
        <v>1954</v>
      </c>
      <c r="G66" t="s">
        <v>1934</v>
      </c>
      <c r="I66" s="140"/>
      <c r="J66" t="s">
        <v>175</v>
      </c>
      <c r="K66" t="s">
        <v>1923</v>
      </c>
      <c r="N66" s="140">
        <v>45936</v>
      </c>
    </row>
    <row r="67" spans="1:14" ht="30.75">
      <c r="A67" s="66" t="s">
        <v>1939</v>
      </c>
      <c r="B67" t="s">
        <v>1940</v>
      </c>
      <c r="C67" s="28" t="s">
        <v>1952</v>
      </c>
      <c r="D67" t="s">
        <v>1956</v>
      </c>
      <c r="E67" s="113" t="s">
        <v>1957</v>
      </c>
      <c r="F67" t="s">
        <v>1954</v>
      </c>
      <c r="G67" t="s">
        <v>1934</v>
      </c>
      <c r="I67" s="140"/>
      <c r="J67" t="s">
        <v>175</v>
      </c>
      <c r="K67" t="s">
        <v>1923</v>
      </c>
      <c r="N67" s="140">
        <v>45936</v>
      </c>
    </row>
    <row r="68" spans="1:14">
      <c r="I68" s="140"/>
    </row>
    <row r="69" spans="1:14">
      <c r="I69" s="140"/>
    </row>
  </sheetData>
  <autoFilter ref="A1:O1" xr:uid="{26F9D05E-8A8F-4E0D-9B98-D0B38E5CAC0E}">
    <sortState xmlns:xlrd2="http://schemas.microsoft.com/office/spreadsheetml/2017/richdata2" ref="A2:O67">
      <sortCondition descending="1" ref="N1"/>
    </sortState>
  </autoFilter>
  <hyperlinks>
    <hyperlink ref="A38" r:id="rId1" xr:uid="{9ADF59A8-3BC0-4507-980B-83551A1D240C}"/>
    <hyperlink ref="A41" r:id="rId2" xr:uid="{4E6A09A1-E05D-475B-9EE9-0ADFD5261EB2}"/>
    <hyperlink ref="A43" r:id="rId3" xr:uid="{99355C50-F7D2-45A0-BA44-4C0433C80D2F}"/>
    <hyperlink ref="A45" r:id="rId4" xr:uid="{3EE98562-880C-4C95-8CC6-3EDFBB53E5C0}"/>
    <hyperlink ref="A46" r:id="rId5" xr:uid="{B6FF8CF7-943E-45CA-AE5A-32AE0C6ABE8C}"/>
    <hyperlink ref="A51" r:id="rId6" xr:uid="{D6A6256C-D920-4B43-8C77-089A6BE73429}"/>
    <hyperlink ref="A61" r:id="rId7" xr:uid="{B083DC7F-075F-4A98-9381-994E215B3E98}"/>
    <hyperlink ref="A62" r:id="rId8" xr:uid="{B32CE590-F370-4CF0-B17F-DB0B4532362C}"/>
    <hyperlink ref="A63" r:id="rId9" xr:uid="{D0B82F2B-38F5-452C-9283-E7BC8DDE1401}"/>
    <hyperlink ref="A64" r:id="rId10" xr:uid="{764EACA7-9026-4254-969B-C6A15861B1AE}"/>
    <hyperlink ref="A67" r:id="rId11" xr:uid="{4D66E830-2985-46C5-8F9E-3DDBED4ECCF2}"/>
    <hyperlink ref="A5" r:id="rId12" xr:uid="{66A6E492-CA78-481C-873F-32D6BAB00907}"/>
    <hyperlink ref="A8" r:id="rId13" xr:uid="{8BD20E3E-5F8D-4D86-92CD-3BB307DF12CD}"/>
    <hyperlink ref="A10" r:id="rId14" xr:uid="{F92DDD0B-9883-4191-8080-BB6CEC8F087F}"/>
    <hyperlink ref="A12" r:id="rId15" xr:uid="{F18C6F13-3165-496C-8EFA-87CD5593D410}"/>
    <hyperlink ref="A13" r:id="rId16" xr:uid="{D3471C8B-9031-44F0-86CC-0BA748DB5AD7}"/>
    <hyperlink ref="A17" r:id="rId17" xr:uid="{63212206-1A57-42FD-AA6D-8B779AA8C52A}"/>
    <hyperlink ref="A27" r:id="rId18" xr:uid="{605A946B-B91A-4DAD-9A92-E6D37C5F9828}"/>
    <hyperlink ref="A28" r:id="rId19" xr:uid="{80FE1EC8-F414-4A88-9AC5-013DCC671B18}"/>
    <hyperlink ref="A29" r:id="rId20" xr:uid="{F1B9143B-EDE4-4D78-AD98-6B36CCCD4FF2}"/>
    <hyperlink ref="A30" r:id="rId21" xr:uid="{0700DB60-D534-4436-8420-8DEEE6BA55C0}"/>
    <hyperlink ref="A33" r:id="rId22" xr:uid="{A313A9B9-9BB0-4EA0-9735-64D4C720A5DB}"/>
  </hyperlinks>
  <pageMargins left="0.7" right="0.7" top="0.75" bottom="0.75" header="0.3" footer="0.3"/>
  <drawing r:id="rId2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7188D-02A9-E547-B647-1537E5AE47AC}">
  <sheetPr codeName="Sheet29"/>
  <dimension ref="A1:G11"/>
  <sheetViews>
    <sheetView workbookViewId="0">
      <selection activeCell="A5" sqref="A5"/>
    </sheetView>
  </sheetViews>
  <sheetFormatPr defaultColWidth="11.42578125" defaultRowHeight="15"/>
  <cols>
    <col min="1" max="1" width="44" customWidth="1"/>
    <col min="2" max="2" width="9" bestFit="1" customWidth="1"/>
    <col min="3" max="3" width="14" bestFit="1" customWidth="1"/>
    <col min="4" max="4" width="13.42578125" bestFit="1" customWidth="1"/>
    <col min="5" max="5" width="12.42578125" bestFit="1" customWidth="1"/>
    <col min="6" max="6" width="6.42578125" bestFit="1" customWidth="1"/>
    <col min="7" max="7" width="12" bestFit="1" customWidth="1"/>
    <col min="27" max="27" width="8.7109375" bestFit="1" customWidth="1"/>
  </cols>
  <sheetData>
    <row r="1" spans="1:7" s="1" customFormat="1">
      <c r="A1" s="1" t="s">
        <v>1961</v>
      </c>
      <c r="B1" s="1" t="s">
        <v>1962</v>
      </c>
      <c r="C1" s="1" t="s">
        <v>1963</v>
      </c>
      <c r="D1" s="1" t="s">
        <v>1964</v>
      </c>
      <c r="E1" s="1" t="s">
        <v>1965</v>
      </c>
      <c r="F1" s="1" t="s">
        <v>821</v>
      </c>
      <c r="G1" s="1" t="s">
        <v>318</v>
      </c>
    </row>
    <row r="2" spans="1:7">
      <c r="A2" t="s">
        <v>1966</v>
      </c>
    </row>
    <row r="3" spans="1:7">
      <c r="A3" t="s">
        <v>1967</v>
      </c>
    </row>
    <row r="4" spans="1:7">
      <c r="A4" t="s">
        <v>1968</v>
      </c>
    </row>
    <row r="11" spans="1:7">
      <c r="A11" t="s">
        <v>1969</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EEF8C-B853-BC4A-BFDD-1BE667273DDB}">
  <dimension ref="A1:E97"/>
  <sheetViews>
    <sheetView zoomScale="137" workbookViewId="0"/>
  </sheetViews>
  <sheetFormatPr defaultColWidth="11.42578125" defaultRowHeight="15"/>
  <cols>
    <col min="1" max="1" width="22.42578125" customWidth="1"/>
    <col min="3" max="3" width="48.85546875" customWidth="1"/>
    <col min="4" max="4" width="42.7109375" bestFit="1" customWidth="1"/>
    <col min="5" max="5" width="27.42578125" bestFit="1" customWidth="1"/>
  </cols>
  <sheetData>
    <row r="1" spans="1:5">
      <c r="A1" s="1" t="s">
        <v>1970</v>
      </c>
      <c r="B1" s="1" t="s">
        <v>1962</v>
      </c>
      <c r="C1" s="1" t="s">
        <v>1971</v>
      </c>
      <c r="D1" s="1" t="s">
        <v>1972</v>
      </c>
      <c r="E1" s="1" t="s">
        <v>1973</v>
      </c>
    </row>
    <row r="2" spans="1:5">
      <c r="A2" t="s">
        <v>440</v>
      </c>
      <c r="B2" t="s">
        <v>509</v>
      </c>
      <c r="C2" s="4" t="s">
        <v>1974</v>
      </c>
      <c r="D2" s="4" t="s">
        <v>1975</v>
      </c>
      <c r="E2" s="4" t="s">
        <v>1976</v>
      </c>
    </row>
    <row r="3" spans="1:5">
      <c r="A3" t="s">
        <v>1977</v>
      </c>
      <c r="B3" t="s">
        <v>509</v>
      </c>
      <c r="C3" s="4" t="s">
        <v>1978</v>
      </c>
      <c r="D3" s="4" t="s">
        <v>1979</v>
      </c>
      <c r="E3" s="4" t="s">
        <v>1980</v>
      </c>
    </row>
    <row r="4" spans="1:5">
      <c r="A4" t="s">
        <v>484</v>
      </c>
      <c r="B4" t="s">
        <v>509</v>
      </c>
      <c r="C4" s="4" t="s">
        <v>1981</v>
      </c>
      <c r="D4" s="4" t="s">
        <v>1982</v>
      </c>
      <c r="E4" s="4" t="s">
        <v>1983</v>
      </c>
    </row>
    <row r="5" spans="1:5">
      <c r="A5" t="s">
        <v>1984</v>
      </c>
      <c r="B5" t="s">
        <v>509</v>
      </c>
      <c r="C5" s="4" t="s">
        <v>1985</v>
      </c>
      <c r="D5" s="4" t="s">
        <v>1986</v>
      </c>
      <c r="E5" s="4" t="s">
        <v>1987</v>
      </c>
    </row>
    <row r="6" spans="1:5">
      <c r="A6" t="s">
        <v>1988</v>
      </c>
      <c r="B6" t="s">
        <v>503</v>
      </c>
      <c r="C6" s="4" t="s">
        <v>1989</v>
      </c>
      <c r="D6" t="s">
        <v>1990</v>
      </c>
      <c r="E6" s="4" t="s">
        <v>1991</v>
      </c>
    </row>
    <row r="7" spans="1:5">
      <c r="A7" t="s">
        <v>1992</v>
      </c>
      <c r="B7" t="s">
        <v>503</v>
      </c>
      <c r="C7" s="4" t="s">
        <v>1993</v>
      </c>
      <c r="D7" s="4" t="s">
        <v>1994</v>
      </c>
      <c r="E7" s="4" t="s">
        <v>1995</v>
      </c>
    </row>
    <row r="8" spans="1:5">
      <c r="A8" t="s">
        <v>508</v>
      </c>
      <c r="B8" t="s">
        <v>503</v>
      </c>
      <c r="C8" s="4" t="s">
        <v>1996</v>
      </c>
      <c r="D8" s="4" t="s">
        <v>1997</v>
      </c>
      <c r="E8" s="4" t="s">
        <v>1998</v>
      </c>
    </row>
    <row r="9" spans="1:5">
      <c r="A9" t="s">
        <v>479</v>
      </c>
      <c r="B9" t="s">
        <v>503</v>
      </c>
      <c r="C9" s="4" t="s">
        <v>1999</v>
      </c>
      <c r="D9" s="4" t="s">
        <v>2000</v>
      </c>
      <c r="E9" s="4" t="s">
        <v>2001</v>
      </c>
    </row>
    <row r="10" spans="1:5">
      <c r="A10" t="s">
        <v>2002</v>
      </c>
      <c r="B10" t="s">
        <v>503</v>
      </c>
      <c r="C10" s="4" t="s">
        <v>2003</v>
      </c>
      <c r="D10" s="4" t="s">
        <v>2004</v>
      </c>
      <c r="E10" s="4" t="s">
        <v>2005</v>
      </c>
    </row>
    <row r="11" spans="1:5">
      <c r="A11" t="s">
        <v>2006</v>
      </c>
      <c r="B11" t="s">
        <v>503</v>
      </c>
      <c r="C11" s="4" t="s">
        <v>2007</v>
      </c>
      <c r="D11" s="4" t="s">
        <v>2008</v>
      </c>
      <c r="E11" s="4" t="s">
        <v>2005</v>
      </c>
    </row>
    <row r="95" spans="2:2">
      <c r="B95" s="1" t="s">
        <v>1962</v>
      </c>
    </row>
    <row r="96" spans="2:2">
      <c r="B96" t="s">
        <v>509</v>
      </c>
    </row>
    <row r="97" spans="2:2">
      <c r="B97" t="s">
        <v>503</v>
      </c>
    </row>
  </sheetData>
  <dataValidations count="1">
    <dataValidation type="list" allowBlank="1" showInputMessage="1" showErrorMessage="1" sqref="B2:B85" xr:uid="{929F60DA-A61C-4946-9967-8A84E92A7D47}">
      <formula1>$B$96:$B$97</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9D95-E600-4906-A36F-EF597CFDB0C5}">
  <sheetPr codeName="Sheet35">
    <tabColor rgb="FF92D050"/>
  </sheetPr>
  <dimension ref="A1:I13"/>
  <sheetViews>
    <sheetView workbookViewId="0">
      <pane ySplit="2" topLeftCell="E3" activePane="bottomLeft" state="frozen"/>
      <selection pane="bottomLeft" activeCell="A2" sqref="A2"/>
    </sheetView>
  </sheetViews>
  <sheetFormatPr defaultColWidth="11.42578125" defaultRowHeight="15"/>
  <cols>
    <col min="1" max="3" width="31.85546875" customWidth="1"/>
    <col min="4" max="4" width="35.140625" customWidth="1"/>
    <col min="5" max="5" width="36.42578125" bestFit="1" customWidth="1"/>
    <col min="6" max="6" width="29.42578125" bestFit="1" customWidth="1"/>
    <col min="7" max="7" width="15.7109375" bestFit="1" customWidth="1"/>
    <col min="8" max="8" width="27.28515625" bestFit="1" customWidth="1"/>
  </cols>
  <sheetData>
    <row r="1" spans="1:9" ht="24.75" customHeight="1">
      <c r="A1" s="1" t="s">
        <v>2009</v>
      </c>
      <c r="B1" s="1" t="s">
        <v>2010</v>
      </c>
      <c r="C1" s="1" t="s">
        <v>2011</v>
      </c>
      <c r="D1" s="30" t="s">
        <v>2012</v>
      </c>
      <c r="E1" s="1" t="s">
        <v>2013</v>
      </c>
      <c r="F1" s="122" t="s">
        <v>2014</v>
      </c>
      <c r="G1" s="122" t="s">
        <v>1429</v>
      </c>
      <c r="H1" s="122" t="s">
        <v>320</v>
      </c>
      <c r="I1" s="122" t="s">
        <v>1378</v>
      </c>
    </row>
    <row r="2" spans="1:9" ht="51" customHeight="1">
      <c r="A2" s="294" t="s">
        <v>2015</v>
      </c>
      <c r="B2" s="295" t="s">
        <v>2016</v>
      </c>
      <c r="C2" s="295" t="s">
        <v>2017</v>
      </c>
      <c r="D2" s="294" t="s">
        <v>2018</v>
      </c>
      <c r="E2" s="294" t="s">
        <v>2019</v>
      </c>
      <c r="F2" s="296" t="s">
        <v>337</v>
      </c>
      <c r="G2" s="297">
        <v>45762</v>
      </c>
      <c r="H2" s="297">
        <v>45884</v>
      </c>
    </row>
    <row r="3" spans="1:9" ht="51" customHeight="1">
      <c r="A3" s="28" t="s">
        <v>2020</v>
      </c>
      <c r="B3" s="66" t="s">
        <v>2021</v>
      </c>
      <c r="C3" s="66" t="s">
        <v>2022</v>
      </c>
      <c r="D3" s="28" t="s">
        <v>2023</v>
      </c>
      <c r="E3" s="28" t="s">
        <v>2024</v>
      </c>
      <c r="F3" s="232" t="s">
        <v>337</v>
      </c>
      <c r="G3" s="103">
        <v>45731</v>
      </c>
      <c r="H3" s="103">
        <v>46096</v>
      </c>
    </row>
    <row r="4" spans="1:9" ht="30.75">
      <c r="A4" s="28" t="s">
        <v>2025</v>
      </c>
      <c r="B4" s="66" t="s">
        <v>2021</v>
      </c>
      <c r="C4" s="66" t="s">
        <v>2017</v>
      </c>
      <c r="D4" s="28" t="s">
        <v>2026</v>
      </c>
      <c r="E4" s="28" t="s">
        <v>2027</v>
      </c>
      <c r="F4" s="232" t="s">
        <v>337</v>
      </c>
      <c r="G4" s="103">
        <v>45731</v>
      </c>
      <c r="H4" s="103">
        <v>46096</v>
      </c>
    </row>
    <row r="5" spans="1:9" ht="45.75">
      <c r="A5" s="28" t="s">
        <v>2028</v>
      </c>
      <c r="B5" s="133" t="s">
        <v>2029</v>
      </c>
      <c r="C5" s="133" t="s">
        <v>2030</v>
      </c>
      <c r="D5" s="28" t="s">
        <v>2031</v>
      </c>
      <c r="E5" s="28" t="s">
        <v>2032</v>
      </c>
      <c r="F5" s="232" t="s">
        <v>337</v>
      </c>
      <c r="G5" s="103">
        <v>45748</v>
      </c>
      <c r="H5" s="103">
        <v>46113</v>
      </c>
    </row>
    <row r="6" spans="1:9" ht="45.75">
      <c r="A6" s="28" t="s">
        <v>2033</v>
      </c>
      <c r="B6" s="133" t="s">
        <v>2034</v>
      </c>
      <c r="C6" s="133" t="s">
        <v>2030</v>
      </c>
      <c r="D6" s="28" t="s">
        <v>2035</v>
      </c>
      <c r="E6" s="28" t="s">
        <v>2032</v>
      </c>
      <c r="F6" s="232" t="s">
        <v>337</v>
      </c>
      <c r="G6" s="103">
        <v>45757</v>
      </c>
      <c r="H6" s="103">
        <v>46122</v>
      </c>
    </row>
    <row r="7" spans="1:9" ht="30.75">
      <c r="A7" s="28" t="s">
        <v>2036</v>
      </c>
      <c r="B7" s="66" t="s">
        <v>2037</v>
      </c>
      <c r="C7" s="66" t="s">
        <v>2038</v>
      </c>
      <c r="D7" s="28" t="s">
        <v>2039</v>
      </c>
      <c r="E7" s="28" t="s">
        <v>2032</v>
      </c>
      <c r="F7" s="232" t="s">
        <v>337</v>
      </c>
      <c r="G7" s="103">
        <v>45757</v>
      </c>
      <c r="H7" s="103">
        <v>46122</v>
      </c>
    </row>
    <row r="8" spans="1:9" ht="45.75">
      <c r="A8" s="34" t="s">
        <v>2040</v>
      </c>
      <c r="B8" s="133" t="s">
        <v>2041</v>
      </c>
      <c r="C8" s="133" t="s">
        <v>2042</v>
      </c>
      <c r="D8" s="28" t="s">
        <v>2043</v>
      </c>
      <c r="E8" t="s">
        <v>2044</v>
      </c>
      <c r="F8" s="232" t="s">
        <v>337</v>
      </c>
      <c r="G8" s="103">
        <v>45762</v>
      </c>
      <c r="H8" s="103">
        <v>46127</v>
      </c>
    </row>
    <row r="9" spans="1:9" ht="30.75">
      <c r="A9" s="28" t="s">
        <v>2045</v>
      </c>
      <c r="B9" s="66" t="s">
        <v>2046</v>
      </c>
      <c r="C9" s="66" t="s">
        <v>2047</v>
      </c>
      <c r="D9" t="s">
        <v>2048</v>
      </c>
      <c r="E9" s="28" t="s">
        <v>2032</v>
      </c>
      <c r="F9" s="232" t="s">
        <v>337</v>
      </c>
      <c r="G9" s="103">
        <v>45762</v>
      </c>
      <c r="H9" s="103">
        <v>46127</v>
      </c>
    </row>
    <row r="10" spans="1:9" ht="30.75">
      <c r="A10" s="28" t="s">
        <v>2049</v>
      </c>
      <c r="B10" s="66" t="s">
        <v>2050</v>
      </c>
      <c r="C10" s="66" t="s">
        <v>2051</v>
      </c>
      <c r="D10" t="s">
        <v>2052</v>
      </c>
      <c r="E10" s="28" t="s">
        <v>2032</v>
      </c>
      <c r="F10" s="232" t="s">
        <v>337</v>
      </c>
      <c r="G10" s="103">
        <v>45762</v>
      </c>
      <c r="H10" s="103">
        <v>46127</v>
      </c>
    </row>
    <row r="11" spans="1:9" ht="60.75">
      <c r="A11" s="28" t="s">
        <v>2053</v>
      </c>
      <c r="B11" s="133" t="s">
        <v>2054</v>
      </c>
      <c r="C11" s="66" t="s">
        <v>2055</v>
      </c>
      <c r="D11" s="28" t="s">
        <v>2056</v>
      </c>
      <c r="E11" t="s">
        <v>2057</v>
      </c>
      <c r="F11" s="232" t="s">
        <v>337</v>
      </c>
      <c r="G11" s="103">
        <v>45775</v>
      </c>
      <c r="H11" s="103">
        <v>46140</v>
      </c>
    </row>
    <row r="12" spans="1:9" ht="60.75">
      <c r="A12" s="28" t="s">
        <v>2058</v>
      </c>
      <c r="B12" s="133" t="s">
        <v>2059</v>
      </c>
      <c r="C12" s="28" t="s">
        <v>2060</v>
      </c>
      <c r="D12" s="28" t="s">
        <v>2061</v>
      </c>
      <c r="E12" t="s">
        <v>2062</v>
      </c>
      <c r="F12" s="232" t="s">
        <v>337</v>
      </c>
      <c r="H12" t="s">
        <v>2063</v>
      </c>
    </row>
    <row r="13" spans="1:9" ht="76.5">
      <c r="A13" s="28" t="s">
        <v>2064</v>
      </c>
      <c r="B13" s="66" t="s">
        <v>2065</v>
      </c>
      <c r="C13" s="66" t="s">
        <v>2066</v>
      </c>
      <c r="D13" s="28" t="s">
        <v>2067</v>
      </c>
      <c r="E13" s="28" t="s">
        <v>2068</v>
      </c>
      <c r="F13" s="232" t="s">
        <v>337</v>
      </c>
      <c r="G13" s="101" t="s">
        <v>1225</v>
      </c>
      <c r="H13" s="101" t="s">
        <v>1225</v>
      </c>
    </row>
  </sheetData>
  <autoFilter ref="A1:I1" xr:uid="{933F9D95-E600-4906-A36F-EF597CFDB0C5}"/>
  <hyperlinks>
    <hyperlink ref="B5" r:id="rId1" xr:uid="{9B2CDDF5-DF0C-481F-BE78-D754AC75F8B8}"/>
    <hyperlink ref="B8" r:id="rId2" xr:uid="{309D3AFB-EE11-467B-A720-61F43DAD2FB8}"/>
    <hyperlink ref="B3" r:id="rId3" xr:uid="{C5588B4E-3025-4179-A85A-2CBF1B301E6B}"/>
    <hyperlink ref="B4" r:id="rId4" xr:uid="{15E1F492-E502-4535-A2C5-5775F34737A1}"/>
    <hyperlink ref="B7" r:id="rId5" xr:uid="{D4F65835-CD5D-4AA2-B035-3FE65BB91902}"/>
    <hyperlink ref="B9" r:id="rId6" xr:uid="{4894AF4A-B4AC-47FE-929C-2E22BBF768CB}"/>
    <hyperlink ref="B10" r:id="rId7" xr:uid="{A68FFB1D-5724-4F36-A117-2AFE7BDC2789}"/>
    <hyperlink ref="B13" r:id="rId8" xr:uid="{290E6933-21BC-472B-86D2-705327388A0B}"/>
    <hyperlink ref="B2" r:id="rId9" xr:uid="{E02870F8-9C36-43DC-B3EE-2524245C729A}"/>
    <hyperlink ref="B6" r:id="rId10" xr:uid="{305C99EC-E74A-44F4-A7DA-478F74B781DD}"/>
    <hyperlink ref="C5" r:id="rId11" xr:uid="{D6EFA891-F0D6-4804-A58F-67007A4A0487}"/>
    <hyperlink ref="C6" r:id="rId12" xr:uid="{6B9BB236-DF50-4619-ACEF-8C7E8DA49FBC}"/>
    <hyperlink ref="C8" r:id="rId13" xr:uid="{D59DB3B1-7201-49DA-AAC1-CA1F3D58371C}"/>
    <hyperlink ref="C3" r:id="rId14" xr:uid="{D5D5A4C8-AB20-4334-8E53-3CF0594318C6}"/>
    <hyperlink ref="C4" r:id="rId15" xr:uid="{D66AB2AF-8A80-4DBE-8ADE-4CA90685E8B3}"/>
    <hyperlink ref="C7" r:id="rId16" xr:uid="{A3D1108C-062A-426A-B88C-9A66240C3E99}"/>
    <hyperlink ref="C9" r:id="rId17" xr:uid="{04E70142-4CBB-47A3-B8F2-42B70F2A41B9}"/>
    <hyperlink ref="C10" r:id="rId18" xr:uid="{BDB78B86-71C0-4FF4-BA48-E7AAE0C74A69}"/>
    <hyperlink ref="C13" r:id="rId19" xr:uid="{C6F51057-BAF3-4A06-B66D-FBCF9B749838}"/>
    <hyperlink ref="C2" r:id="rId20" xr:uid="{91CE6AD2-4A1F-4D80-9E31-6A56C5677BAC}"/>
    <hyperlink ref="B11" r:id="rId21" xr:uid="{46892EE8-27A8-4785-8F50-B35DA5852E60}"/>
    <hyperlink ref="C11" r:id="rId22" xr:uid="{CE3EAB64-2BF9-4088-88D4-0AC1384118A4}"/>
    <hyperlink ref="B12" r:id="rId23" location="/supplierhome/homesspahelp@microsoft.com" display="https://microsoft.aravo.com/aems/home/supplier/#/supplierhome/homesspahelp@microsoft.com" xr:uid="{7D6375D0-AAFE-344E-8B31-F6B26D8D3FFA}"/>
  </hyperlinks>
  <pageMargins left="0.7" right="0.7" top="0.75" bottom="0.75" header="0.3" footer="0.3"/>
  <drawing r:id="rId24"/>
  <legacyDrawing r:id="rId2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FEC32-A9E0-DA44-BCBB-8EE1C37F5F22}">
  <sheetPr codeName="Sheet10"/>
  <dimension ref="A1:N62"/>
  <sheetViews>
    <sheetView workbookViewId="0">
      <selection activeCell="B1" sqref="B1"/>
    </sheetView>
  </sheetViews>
  <sheetFormatPr defaultColWidth="11.42578125" defaultRowHeight="15"/>
  <cols>
    <col min="1" max="2" width="10.85546875" style="3"/>
    <col min="7" max="7" width="26.28515625" customWidth="1"/>
    <col min="8" max="9" width="29.42578125" customWidth="1"/>
    <col min="13" max="13" width="15.42578125" bestFit="1" customWidth="1"/>
  </cols>
  <sheetData>
    <row r="1" spans="1:14" ht="15.95" thickBot="1">
      <c r="C1" t="s">
        <v>1154</v>
      </c>
      <c r="D1" t="s">
        <v>2069</v>
      </c>
      <c r="E1" t="s">
        <v>1267</v>
      </c>
      <c r="F1" t="s">
        <v>2069</v>
      </c>
      <c r="M1" t="s">
        <v>2070</v>
      </c>
    </row>
    <row r="2" spans="1:14" ht="15.95">
      <c r="A2" s="3">
        <v>1</v>
      </c>
      <c r="B2" s="3" t="str">
        <f>RIGHT("000"&amp;A2,3)</f>
        <v>001</v>
      </c>
      <c r="C2" t="str">
        <f t="shared" ref="C2:C61" si="0">"R"&amp;B2</f>
        <v>R001</v>
      </c>
      <c r="D2" t="str">
        <f>IF(COUNTIF('Risk Register'!B:B, C2)&gt;0, "Used", "NotUsed")</f>
        <v>Used</v>
      </c>
      <c r="E2" t="s">
        <v>2071</v>
      </c>
      <c r="F2" t="str">
        <f>IF(COUNTIF('ISMS Action Tracker'!B:B, E2)&gt;0, "Used", "Not Used")</f>
        <v>Used</v>
      </c>
      <c r="G2" s="11" t="s">
        <v>2072</v>
      </c>
      <c r="H2" s="12" t="s">
        <v>359</v>
      </c>
      <c r="I2" s="12" t="s">
        <v>360</v>
      </c>
      <c r="J2" s="14" t="s">
        <v>2073</v>
      </c>
      <c r="K2" s="5"/>
      <c r="M2" t="str">
        <f>IF(F2="Not Used", E2, "")</f>
        <v/>
      </c>
      <c r="N2" s="4"/>
    </row>
    <row r="3" spans="1:14">
      <c r="A3" s="3">
        <v>2</v>
      </c>
      <c r="B3" s="3" t="str">
        <f t="shared" ref="B3:B61" si="1">RIGHT("000"&amp;A3,3)</f>
        <v>002</v>
      </c>
      <c r="C3" t="str">
        <f t="shared" si="0"/>
        <v>R002</v>
      </c>
      <c r="D3" t="str">
        <f>IF(COUNTIF('Risk Register'!B:B, C3)&gt;0, "Used", "NotUsed")</f>
        <v>Used</v>
      </c>
      <c r="E3" t="s">
        <v>280</v>
      </c>
      <c r="F3" t="str">
        <f>IF(COUNTIF('ISMS Action Tracker'!B:B, E3)&gt;0, "Used", "Not Used")</f>
        <v>Used</v>
      </c>
      <c r="G3" s="13" t="s">
        <v>411</v>
      </c>
      <c r="H3" s="4" t="s">
        <v>373</v>
      </c>
      <c r="I3" s="4" t="s">
        <v>374</v>
      </c>
      <c r="K3" s="7"/>
      <c r="M3" t="str">
        <f>IF(F3="Not Used", E3, "")</f>
        <v/>
      </c>
    </row>
    <row r="4" spans="1:14">
      <c r="A4" s="3">
        <v>3</v>
      </c>
      <c r="B4" s="3" t="str">
        <f t="shared" si="1"/>
        <v>003</v>
      </c>
      <c r="C4" t="str">
        <f t="shared" si="0"/>
        <v>R003</v>
      </c>
      <c r="D4" t="str">
        <f>IF(COUNTIF('Risk Register'!B:B, C4)&gt;0, "Used", "NotUsed")</f>
        <v>Used</v>
      </c>
      <c r="E4" t="s">
        <v>2074</v>
      </c>
      <c r="F4" t="str">
        <f>IF(COUNTIF('ISMS Action Tracker'!B:B, E4)&gt;0, "Used", "Not Used")</f>
        <v>Used</v>
      </c>
      <c r="G4" s="13" t="s">
        <v>384</v>
      </c>
      <c r="H4" s="4" t="s">
        <v>385</v>
      </c>
      <c r="I4" s="4" t="s">
        <v>386</v>
      </c>
      <c r="K4" s="7"/>
    </row>
    <row r="5" spans="1:14">
      <c r="A5" s="3">
        <v>4</v>
      </c>
      <c r="B5" s="3" t="str">
        <f t="shared" si="1"/>
        <v>004</v>
      </c>
      <c r="C5" t="str">
        <f t="shared" si="0"/>
        <v>R004</v>
      </c>
      <c r="D5" t="str">
        <f>IF(COUNTIF('Risk Register'!B:B, C5)&gt;0, "Used", "NotUsed")</f>
        <v>Used</v>
      </c>
      <c r="E5" t="s">
        <v>2075</v>
      </c>
      <c r="F5" t="str">
        <f>IF(COUNTIF('ISMS Action Tracker'!B:B, E5)&gt;0, "Used", "Not Used")</f>
        <v>Used</v>
      </c>
      <c r="G5" s="13" t="s">
        <v>372</v>
      </c>
      <c r="H5" s="4" t="s">
        <v>393</v>
      </c>
      <c r="I5" s="4" t="s">
        <v>394</v>
      </c>
      <c r="K5" s="7"/>
    </row>
    <row r="6" spans="1:14">
      <c r="A6" s="3">
        <v>5</v>
      </c>
      <c r="B6" s="3" t="str">
        <f t="shared" si="1"/>
        <v>005</v>
      </c>
      <c r="C6" t="str">
        <f t="shared" si="0"/>
        <v>R005</v>
      </c>
      <c r="D6" t="str">
        <f>IF(COUNTIF('Risk Register'!B:B, C6)&gt;0, "Used", "NotUsed")</f>
        <v>Used</v>
      </c>
      <c r="E6" t="s">
        <v>2076</v>
      </c>
      <c r="F6" t="str">
        <f>IF(COUNTIF('ISMS Action Tracker'!B:B, E6)&gt;0, "Used", "Not Used")</f>
        <v>Used</v>
      </c>
      <c r="G6" s="13" t="s">
        <v>434</v>
      </c>
      <c r="H6" s="4" t="s">
        <v>400</v>
      </c>
      <c r="I6" s="4" t="s">
        <v>401</v>
      </c>
      <c r="K6" s="7"/>
    </row>
    <row r="7" spans="1:14">
      <c r="A7" s="3">
        <v>6</v>
      </c>
      <c r="B7" s="3" t="str">
        <f t="shared" si="1"/>
        <v>006</v>
      </c>
      <c r="C7" t="str">
        <f t="shared" si="0"/>
        <v>R006</v>
      </c>
      <c r="D7" t="str">
        <f>IF(COUNTIF('Risk Register'!B:B, C7)&gt;0, "Used", "NotUsed")</f>
        <v>Used</v>
      </c>
      <c r="E7" t="s">
        <v>2077</v>
      </c>
      <c r="F7" t="str">
        <f>IF(COUNTIF('ISMS Action Tracker'!B:B, E7)&gt;0, "Used", "Not Used")</f>
        <v>Used</v>
      </c>
      <c r="G7" s="6"/>
      <c r="H7" s="4" t="s">
        <v>385</v>
      </c>
      <c r="I7" s="4" t="s">
        <v>394</v>
      </c>
      <c r="K7" s="7"/>
    </row>
    <row r="8" spans="1:14">
      <c r="A8" s="3">
        <v>7</v>
      </c>
      <c r="B8" s="3" t="str">
        <f t="shared" si="1"/>
        <v>007</v>
      </c>
      <c r="C8" t="str">
        <f t="shared" si="0"/>
        <v>R007</v>
      </c>
      <c r="D8" t="str">
        <f>IF(COUNTIF('Risk Register'!B:B, C8)&gt;0, "Used", "NotUsed")</f>
        <v>Used</v>
      </c>
      <c r="E8" t="s">
        <v>2078</v>
      </c>
      <c r="F8" t="str">
        <f>IF(COUNTIF('ISMS Action Tracker'!B:B, E8)&gt;0, "Used", "Not Used")</f>
        <v>Used</v>
      </c>
      <c r="G8" s="6"/>
      <c r="H8" s="4" t="s">
        <v>393</v>
      </c>
      <c r="I8" s="4" t="s">
        <v>394</v>
      </c>
      <c r="K8" s="7"/>
    </row>
    <row r="9" spans="1:14">
      <c r="A9" s="3">
        <v>8</v>
      </c>
      <c r="B9" s="3" t="str">
        <f t="shared" si="1"/>
        <v>008</v>
      </c>
      <c r="C9" t="str">
        <f t="shared" si="0"/>
        <v>R008</v>
      </c>
      <c r="D9" t="str">
        <f>IF(COUNTIF('Risk Register'!B:B, C9)&gt;0, "Used", "NotUsed")</f>
        <v>Used</v>
      </c>
      <c r="E9" t="s">
        <v>2079</v>
      </c>
      <c r="F9" t="str">
        <f>IF(COUNTIF('ISMS Action Tracker'!B:B, E9)&gt;0, "Used", "Not Used")</f>
        <v>Used</v>
      </c>
      <c r="G9" s="6"/>
      <c r="H9" s="4" t="s">
        <v>393</v>
      </c>
      <c r="I9" s="4" t="s">
        <v>394</v>
      </c>
      <c r="K9" s="7"/>
    </row>
    <row r="10" spans="1:14">
      <c r="A10" s="3">
        <v>9</v>
      </c>
      <c r="B10" s="3" t="str">
        <f t="shared" si="1"/>
        <v>009</v>
      </c>
      <c r="C10" t="str">
        <f t="shared" si="0"/>
        <v>R009</v>
      </c>
      <c r="D10" t="str">
        <f>IF(COUNTIF('Risk Register'!B:B, C10)&gt;0, "Used", "NotUsed")</f>
        <v>Used</v>
      </c>
      <c r="E10" t="s">
        <v>2080</v>
      </c>
      <c r="F10" t="str">
        <f>IF(COUNTIF('ISMS Action Tracker'!B:B, E10)&gt;0, "Used", "Not Used")</f>
        <v>Used</v>
      </c>
      <c r="G10" s="6"/>
      <c r="H10" s="4" t="s">
        <v>400</v>
      </c>
      <c r="I10" s="4" t="s">
        <v>1336</v>
      </c>
      <c r="K10" s="7"/>
    </row>
    <row r="11" spans="1:14">
      <c r="A11" s="3">
        <v>10</v>
      </c>
      <c r="B11" s="3" t="str">
        <f t="shared" si="1"/>
        <v>010</v>
      </c>
      <c r="C11" t="str">
        <f t="shared" si="0"/>
        <v>R010</v>
      </c>
      <c r="D11" t="str">
        <f>IF(COUNTIF('Risk Register'!B:B, C11)&gt;0, "Used", "NotUsed")</f>
        <v>Used</v>
      </c>
      <c r="E11" t="s">
        <v>234</v>
      </c>
      <c r="F11" t="str">
        <f>IF(COUNTIF('ISMS Action Tracker'!B:B, E11)&gt;0, "Used", "Not Used")</f>
        <v>Used</v>
      </c>
      <c r="G11" s="6"/>
      <c r="H11" s="4" t="s">
        <v>435</v>
      </c>
      <c r="I11" s="4" t="s">
        <v>401</v>
      </c>
      <c r="K11" s="7"/>
    </row>
    <row r="12" spans="1:14">
      <c r="A12" s="3">
        <v>11</v>
      </c>
      <c r="B12" s="3" t="str">
        <f t="shared" si="1"/>
        <v>011</v>
      </c>
      <c r="C12" t="str">
        <f t="shared" si="0"/>
        <v>R011</v>
      </c>
      <c r="D12" t="str">
        <f>IF(COUNTIF('Risk Register'!B:B, C12)&gt;0, "Used", "NotUsed")</f>
        <v>Used</v>
      </c>
      <c r="E12" t="s">
        <v>2081</v>
      </c>
      <c r="F12" t="str">
        <f>IF(COUNTIF('ISMS Action Tracker'!B:B, E12)&gt;0, "Used", "Not Used")</f>
        <v>Used</v>
      </c>
      <c r="G12" s="6"/>
      <c r="H12" s="4" t="s">
        <v>435</v>
      </c>
      <c r="I12" s="4" t="s">
        <v>401</v>
      </c>
      <c r="K12" s="7"/>
    </row>
    <row r="13" spans="1:14">
      <c r="A13" s="3">
        <v>12</v>
      </c>
      <c r="B13" s="3" t="str">
        <f t="shared" si="1"/>
        <v>012</v>
      </c>
      <c r="C13" t="str">
        <f t="shared" si="0"/>
        <v>R012</v>
      </c>
      <c r="D13" t="str">
        <f>IF(COUNTIF('Risk Register'!B:B, C13)&gt;0, "Used", "NotUsed")</f>
        <v>Used</v>
      </c>
      <c r="E13" t="s">
        <v>2082</v>
      </c>
      <c r="F13" t="str">
        <f>IF(COUNTIF('ISMS Action Tracker'!B:B, E13)&gt;0, "Used", "Not Used")</f>
        <v>Used</v>
      </c>
      <c r="G13" s="6"/>
      <c r="H13" s="4" t="s">
        <v>400</v>
      </c>
      <c r="I13" s="4" t="s">
        <v>401</v>
      </c>
      <c r="K13" s="7"/>
    </row>
    <row r="14" spans="1:14">
      <c r="A14" s="3">
        <v>13</v>
      </c>
      <c r="B14" s="3" t="str">
        <f t="shared" si="1"/>
        <v>013</v>
      </c>
      <c r="C14" t="str">
        <f t="shared" si="0"/>
        <v>R013</v>
      </c>
      <c r="D14" t="str">
        <f>IF(COUNTIF('Risk Register'!B:B, C14)&gt;0, "Used", "NotUsed")</f>
        <v>Used</v>
      </c>
      <c r="E14" t="s">
        <v>2083</v>
      </c>
      <c r="F14" t="str">
        <f>IF(COUNTIF('ISMS Action Tracker'!B:B, E14)&gt;0, "Used", "Not Used")</f>
        <v>Used</v>
      </c>
      <c r="G14" s="6"/>
      <c r="K14" s="7"/>
    </row>
    <row r="15" spans="1:14">
      <c r="A15" s="3">
        <v>14</v>
      </c>
      <c r="B15" s="3" t="str">
        <f t="shared" si="1"/>
        <v>014</v>
      </c>
      <c r="C15" t="str">
        <f t="shared" si="0"/>
        <v>R014</v>
      </c>
      <c r="D15" t="str">
        <f>IF(COUNTIF('Risk Register'!B:B, C15)&gt;0, "Used", "NotUsed")</f>
        <v>Used</v>
      </c>
      <c r="E15" t="s">
        <v>2084</v>
      </c>
      <c r="F15" t="str">
        <f>IF(COUNTIF('ISMS Action Tracker'!B:B, E15)&gt;0, "Used", "Not Used")</f>
        <v>Used</v>
      </c>
      <c r="G15" s="6"/>
      <c r="K15" s="7"/>
    </row>
    <row r="16" spans="1:14">
      <c r="A16" s="3">
        <v>15</v>
      </c>
      <c r="B16" s="3" t="str">
        <f t="shared" si="1"/>
        <v>015</v>
      </c>
      <c r="C16" t="str">
        <f t="shared" si="0"/>
        <v>R015</v>
      </c>
      <c r="D16" t="str">
        <f>IF(COUNTIF('Risk Register'!B:B, C16)&gt;0, "Used", "NotUsed")</f>
        <v>Used</v>
      </c>
      <c r="E16" t="s">
        <v>282</v>
      </c>
      <c r="F16" t="str">
        <f>IF(COUNTIF('ISMS Action Tracker'!B:B, E16)&gt;0, "Used", "Not Used")</f>
        <v>Used</v>
      </c>
      <c r="G16" s="6"/>
      <c r="K16" s="7"/>
    </row>
    <row r="17" spans="1:11">
      <c r="A17" s="3">
        <v>16</v>
      </c>
      <c r="B17" s="3" t="str">
        <f t="shared" si="1"/>
        <v>016</v>
      </c>
      <c r="C17" t="str">
        <f t="shared" si="0"/>
        <v>R016</v>
      </c>
      <c r="D17" t="str">
        <f>IF(COUNTIF('Risk Register'!B:B, C17)&gt;0, "Used", "NotUsed")</f>
        <v>Used</v>
      </c>
      <c r="E17" t="s">
        <v>284</v>
      </c>
      <c r="F17" t="str">
        <f>IF(COUNTIF('ISMS Action Tracker'!B:B, E17)&gt;0, "Used", "Not Used")</f>
        <v>Used</v>
      </c>
      <c r="G17" s="6"/>
      <c r="K17" s="7"/>
    </row>
    <row r="18" spans="1:11">
      <c r="A18" s="3">
        <v>17</v>
      </c>
      <c r="B18" s="3" t="str">
        <f t="shared" si="1"/>
        <v>017</v>
      </c>
      <c r="C18" t="str">
        <f t="shared" si="0"/>
        <v>R017</v>
      </c>
      <c r="D18" t="str">
        <f>IF(COUNTIF('Risk Register'!B:B, C18)&gt;0, "Used", "NotUsed")</f>
        <v>Used</v>
      </c>
      <c r="E18" t="s">
        <v>286</v>
      </c>
      <c r="F18" t="str">
        <f>IF(COUNTIF('ISMS Action Tracker'!B:B, E18)&gt;0, "Used", "Not Used")</f>
        <v>Used</v>
      </c>
      <c r="G18" s="6"/>
      <c r="K18" s="7"/>
    </row>
    <row r="19" spans="1:11">
      <c r="A19" s="3">
        <v>18</v>
      </c>
      <c r="B19" s="3" t="str">
        <f t="shared" si="1"/>
        <v>018</v>
      </c>
      <c r="C19" t="str">
        <f t="shared" si="0"/>
        <v>R018</v>
      </c>
      <c r="D19" t="str">
        <f>IF(COUNTIF('Risk Register'!B:B, C19)&gt;0, "Used", "NotUsed")</f>
        <v>Used</v>
      </c>
      <c r="E19" t="s">
        <v>2085</v>
      </c>
      <c r="F19" t="str">
        <f>IF(COUNTIF('ISMS Action Tracker'!B:B, E19)&gt;0, "Used", "Not Used")</f>
        <v>Used</v>
      </c>
      <c r="G19" s="6"/>
      <c r="K19" s="7"/>
    </row>
    <row r="20" spans="1:11">
      <c r="A20" s="3">
        <v>19</v>
      </c>
      <c r="B20" s="3" t="str">
        <f t="shared" si="1"/>
        <v>019</v>
      </c>
      <c r="C20" t="str">
        <f t="shared" si="0"/>
        <v>R019</v>
      </c>
      <c r="D20" t="str">
        <f>IF(COUNTIF('Risk Register'!B:B, C20)&gt;0, "Used", "NotUsed")</f>
        <v>Used</v>
      </c>
      <c r="E20" t="s">
        <v>288</v>
      </c>
      <c r="F20" t="str">
        <f>IF(COUNTIF('ISMS Action Tracker'!B:B, E20)&gt;0, "Used", "Not Used")</f>
        <v>Used</v>
      </c>
      <c r="G20" s="6"/>
      <c r="K20" s="7"/>
    </row>
    <row r="21" spans="1:11">
      <c r="A21" s="3">
        <v>20</v>
      </c>
      <c r="B21" s="3" t="str">
        <f t="shared" si="1"/>
        <v>020</v>
      </c>
      <c r="C21" t="str">
        <f t="shared" si="0"/>
        <v>R020</v>
      </c>
      <c r="D21" t="str">
        <f>IF(COUNTIF('Risk Register'!B:B, C21)&gt;0, "Used", "NotUsed")</f>
        <v>Used</v>
      </c>
      <c r="E21" t="s">
        <v>2086</v>
      </c>
      <c r="F21" t="str">
        <f>IF(COUNTIF('ISMS Action Tracker'!B:B, E21)&gt;0, "Used", "Not Used")</f>
        <v>Used</v>
      </c>
      <c r="G21" s="6"/>
      <c r="K21" s="7"/>
    </row>
    <row r="22" spans="1:11">
      <c r="A22" s="3">
        <v>21</v>
      </c>
      <c r="B22" s="3" t="str">
        <f t="shared" si="1"/>
        <v>021</v>
      </c>
      <c r="C22" t="str">
        <f t="shared" si="0"/>
        <v>R021</v>
      </c>
      <c r="D22" t="str">
        <f>IF(COUNTIF('Risk Register'!B:B, C22)&gt;0, "Used", "NotUsed")</f>
        <v>Used</v>
      </c>
      <c r="E22" t="s">
        <v>2087</v>
      </c>
      <c r="F22" t="str">
        <f>IF(COUNTIF('ISMS Action Tracker'!B:B, E22)&gt;0, "Used", "Not Used")</f>
        <v>Used</v>
      </c>
      <c r="G22" s="6"/>
      <c r="K22" s="7"/>
    </row>
    <row r="23" spans="1:11">
      <c r="A23" s="3">
        <v>22</v>
      </c>
      <c r="B23" s="3" t="str">
        <f t="shared" si="1"/>
        <v>022</v>
      </c>
      <c r="C23" t="str">
        <f t="shared" si="0"/>
        <v>R022</v>
      </c>
      <c r="D23" t="str">
        <f>IF(COUNTIF('Risk Register'!B:B, C23)&gt;0, "Used", "NotUsed")</f>
        <v>Used</v>
      </c>
      <c r="E23" t="s">
        <v>2088</v>
      </c>
      <c r="F23" t="str">
        <f>IF(COUNTIF('ISMS Action Tracker'!B:B, E23)&gt;0, "Used", "Not Used")</f>
        <v>Used</v>
      </c>
      <c r="G23" s="6"/>
      <c r="K23" s="7"/>
    </row>
    <row r="24" spans="1:11">
      <c r="A24" s="3">
        <v>23</v>
      </c>
      <c r="B24" s="3" t="str">
        <f t="shared" si="1"/>
        <v>023</v>
      </c>
      <c r="C24" t="str">
        <f t="shared" si="0"/>
        <v>R023</v>
      </c>
      <c r="D24" t="str">
        <f>IF(COUNTIF('Risk Register'!B:B, C24)&gt;0, "Used", "NotUsed")</f>
        <v>Used</v>
      </c>
      <c r="E24" t="s">
        <v>2089</v>
      </c>
      <c r="F24" t="str">
        <f>IF(COUNTIF('ISMS Action Tracker'!B:B, E24)&gt;0, "Used", "Not Used")</f>
        <v>Used</v>
      </c>
      <c r="G24" s="6"/>
      <c r="K24" s="7"/>
    </row>
    <row r="25" spans="1:11">
      <c r="A25" s="3">
        <v>24</v>
      </c>
      <c r="B25" s="3" t="str">
        <f t="shared" si="1"/>
        <v>024</v>
      </c>
      <c r="C25" t="str">
        <f t="shared" si="0"/>
        <v>R024</v>
      </c>
      <c r="D25" t="str">
        <f>IF(COUNTIF('Risk Register'!B:B, C25)&gt;0, "Used", "NotUsed")</f>
        <v>Used</v>
      </c>
      <c r="E25" t="s">
        <v>2090</v>
      </c>
      <c r="F25" t="str">
        <f>IF(COUNTIF('ISMS Action Tracker'!B:B, E25)&gt;0, "Used", "Not Used")</f>
        <v>Used</v>
      </c>
      <c r="G25" s="6"/>
      <c r="K25" s="7"/>
    </row>
    <row r="26" spans="1:11">
      <c r="A26" s="3">
        <v>25</v>
      </c>
      <c r="B26" s="3" t="str">
        <f t="shared" si="1"/>
        <v>025</v>
      </c>
      <c r="C26" t="str">
        <f t="shared" si="0"/>
        <v>R025</v>
      </c>
      <c r="D26" t="str">
        <f>IF(COUNTIF('Risk Register'!B:B, C26)&gt;0, "Used", "NotUsed")</f>
        <v>Used</v>
      </c>
      <c r="E26" t="s">
        <v>2091</v>
      </c>
      <c r="F26" t="str">
        <f>IF(COUNTIF('ISMS Action Tracker'!B:B, E26)&gt;0, "Used", "Not Used")</f>
        <v>Used</v>
      </c>
      <c r="G26" s="6"/>
      <c r="K26" s="7"/>
    </row>
    <row r="27" spans="1:11">
      <c r="A27" s="3">
        <v>26</v>
      </c>
      <c r="B27" s="3" t="str">
        <f t="shared" si="1"/>
        <v>026</v>
      </c>
      <c r="C27" t="str">
        <f t="shared" si="0"/>
        <v>R026</v>
      </c>
      <c r="D27" t="str">
        <f>IF(COUNTIF('Risk Register'!B:B, C27)&gt;0, "Used", "NotUsed")</f>
        <v>Used</v>
      </c>
      <c r="E27" t="s">
        <v>2092</v>
      </c>
      <c r="F27" t="str">
        <f>IF(COUNTIF('ISMS Action Tracker'!B:B, E27)&gt;0, "Used", "Not Used")</f>
        <v>Used</v>
      </c>
      <c r="G27" s="6"/>
      <c r="K27" s="7"/>
    </row>
    <row r="28" spans="1:11">
      <c r="A28" s="3">
        <v>27</v>
      </c>
      <c r="B28" s="3" t="str">
        <f t="shared" si="1"/>
        <v>027</v>
      </c>
      <c r="C28" t="str">
        <f t="shared" si="0"/>
        <v>R027</v>
      </c>
      <c r="D28" t="str">
        <f>IF(COUNTIF('Risk Register'!B:B, C28)&gt;0, "Used", "NotUsed")</f>
        <v>Used</v>
      </c>
      <c r="E28" t="s">
        <v>2093</v>
      </c>
      <c r="F28" t="str">
        <f>IF(COUNTIF('ISMS Action Tracker'!B:B, E28)&gt;0, "Used", "Not Used")</f>
        <v>Used</v>
      </c>
      <c r="G28" s="6"/>
      <c r="K28" s="7"/>
    </row>
    <row r="29" spans="1:11">
      <c r="A29" s="3">
        <v>28</v>
      </c>
      <c r="B29" s="3" t="str">
        <f t="shared" si="1"/>
        <v>028</v>
      </c>
      <c r="C29" t="str">
        <f t="shared" si="0"/>
        <v>R028</v>
      </c>
      <c r="D29" t="str">
        <f>IF(COUNTIF('Risk Register'!B:B, C29)&gt;0, "Used", "NotUsed")</f>
        <v>Used</v>
      </c>
      <c r="E29" t="s">
        <v>2094</v>
      </c>
      <c r="F29" t="str">
        <f>IF(COUNTIF('ISMS Action Tracker'!B:B, E29)&gt;0, "Used", "Not Used")</f>
        <v>Used</v>
      </c>
      <c r="G29" s="6"/>
      <c r="K29" s="7"/>
    </row>
    <row r="30" spans="1:11">
      <c r="A30" s="3">
        <v>29</v>
      </c>
      <c r="B30" s="3" t="str">
        <f t="shared" si="1"/>
        <v>029</v>
      </c>
      <c r="C30" t="str">
        <f t="shared" si="0"/>
        <v>R029</v>
      </c>
      <c r="D30" t="str">
        <f>IF(COUNTIF('Risk Register'!B:B, C30)&gt;0, "Used", "NotUsed")</f>
        <v>Used</v>
      </c>
      <c r="E30" t="s">
        <v>2095</v>
      </c>
      <c r="F30" t="str">
        <f>IF(COUNTIF('ISMS Action Tracker'!B:B, E30)&gt;0, "Used", "Not Used")</f>
        <v>Used</v>
      </c>
      <c r="G30" s="6"/>
      <c r="K30" s="7"/>
    </row>
    <row r="31" spans="1:11">
      <c r="A31" s="3">
        <v>30</v>
      </c>
      <c r="B31" s="3" t="str">
        <f t="shared" si="1"/>
        <v>030</v>
      </c>
      <c r="C31" t="str">
        <f t="shared" si="0"/>
        <v>R030</v>
      </c>
      <c r="D31" t="str">
        <f>IF(COUNTIF('Risk Register'!B:B, C31)&gt;0, "Used", "NotUsed")</f>
        <v>Used</v>
      </c>
      <c r="E31" t="s">
        <v>2096</v>
      </c>
      <c r="F31" t="str">
        <f>IF(COUNTIF('ISMS Action Tracker'!B:B, E31)&gt;0, "Used", "Not Used")</f>
        <v>Not Used</v>
      </c>
      <c r="G31" s="6"/>
      <c r="K31" s="7"/>
    </row>
    <row r="32" spans="1:11" ht="15.95" thickBot="1">
      <c r="A32" s="3">
        <v>31</v>
      </c>
      <c r="B32" s="3" t="str">
        <f t="shared" si="1"/>
        <v>031</v>
      </c>
      <c r="C32" t="str">
        <f t="shared" si="0"/>
        <v>R031</v>
      </c>
      <c r="D32" t="str">
        <f>IF(COUNTIF('Risk Register'!B:B, C32)&gt;0, "Used", "NotUsed")</f>
        <v>Used</v>
      </c>
      <c r="E32" t="s">
        <v>2097</v>
      </c>
      <c r="F32" t="str">
        <f>IF(COUNTIF('ISMS Action Tracker'!B:B, E32)&gt;0, "Used", "Not Used")</f>
        <v>Not Used</v>
      </c>
      <c r="G32" s="8"/>
      <c r="H32" s="9"/>
      <c r="I32" s="9"/>
      <c r="J32" s="9"/>
      <c r="K32" s="10"/>
    </row>
    <row r="33" spans="1:6">
      <c r="A33" s="3">
        <v>32</v>
      </c>
      <c r="B33" s="3" t="str">
        <f t="shared" si="1"/>
        <v>032</v>
      </c>
      <c r="C33" t="str">
        <f t="shared" si="0"/>
        <v>R032</v>
      </c>
      <c r="D33" t="str">
        <f>IF(COUNTIF('Risk Register'!B:B, C33)&gt;0, "Used", "NotUsed")</f>
        <v>Used</v>
      </c>
      <c r="E33" t="s">
        <v>2098</v>
      </c>
      <c r="F33" t="str">
        <f>IF(COUNTIF('ISMS Action Tracker'!B:B, E33)&gt;0, "Used", "Not Used")</f>
        <v>Not Used</v>
      </c>
    </row>
    <row r="34" spans="1:6">
      <c r="A34" s="3">
        <v>33</v>
      </c>
      <c r="B34" s="3" t="str">
        <f t="shared" si="1"/>
        <v>033</v>
      </c>
      <c r="C34" t="str">
        <f t="shared" si="0"/>
        <v>R033</v>
      </c>
      <c r="D34" t="str">
        <f>IF(COUNTIF('Risk Register'!B:B, C34)&gt;0, "Used", "NotUsed")</f>
        <v>Used</v>
      </c>
      <c r="E34" t="s">
        <v>2099</v>
      </c>
      <c r="F34" t="str">
        <f>IF(COUNTIF('ISMS Action Tracker'!B:B, E34)&gt;0, "Used", "Not Used")</f>
        <v>Not Used</v>
      </c>
    </row>
    <row r="35" spans="1:6">
      <c r="A35" s="3">
        <v>34</v>
      </c>
      <c r="B35" s="3" t="str">
        <f t="shared" si="1"/>
        <v>034</v>
      </c>
      <c r="C35" t="str">
        <f t="shared" si="0"/>
        <v>R034</v>
      </c>
      <c r="D35" t="str">
        <f>IF(COUNTIF('Risk Register'!B:B, C35)&gt;0, "Used", "NotUsed")</f>
        <v>Used</v>
      </c>
      <c r="E35" t="s">
        <v>2100</v>
      </c>
      <c r="F35" t="str">
        <f>IF(COUNTIF('ISMS Action Tracker'!B:B, E35)&gt;0, "Used", "Not Used")</f>
        <v>Not Used</v>
      </c>
    </row>
    <row r="36" spans="1:6">
      <c r="A36" s="3">
        <v>35</v>
      </c>
      <c r="B36" s="3" t="str">
        <f t="shared" si="1"/>
        <v>035</v>
      </c>
      <c r="C36" t="str">
        <f t="shared" si="0"/>
        <v>R035</v>
      </c>
      <c r="D36" t="str">
        <f>IF(COUNTIF('Risk Register'!B:B, C36)&gt;0, "Used", "NotUsed")</f>
        <v>Used</v>
      </c>
      <c r="E36" t="s">
        <v>2101</v>
      </c>
      <c r="F36" t="str">
        <f>IF(COUNTIF('ISMS Action Tracker'!B:B, E36)&gt;0, "Used", "Not Used")</f>
        <v>Not Used</v>
      </c>
    </row>
    <row r="37" spans="1:6">
      <c r="A37" s="3">
        <v>36</v>
      </c>
      <c r="B37" s="3" t="str">
        <f t="shared" si="1"/>
        <v>036</v>
      </c>
      <c r="C37" t="str">
        <f t="shared" si="0"/>
        <v>R036</v>
      </c>
      <c r="D37" t="str">
        <f>IF(COUNTIF('Risk Register'!B:B, C37)&gt;0, "Used", "NotUsed")</f>
        <v>NotUsed</v>
      </c>
      <c r="E37" t="s">
        <v>2102</v>
      </c>
      <c r="F37" t="str">
        <f>IF(COUNTIF('ISMS Action Tracker'!B:B, E37)&gt;0, "Used", "Not Used")</f>
        <v>Not Used</v>
      </c>
    </row>
    <row r="38" spans="1:6">
      <c r="A38" s="3">
        <v>37</v>
      </c>
      <c r="B38" s="3" t="str">
        <f t="shared" si="1"/>
        <v>037</v>
      </c>
      <c r="C38" t="str">
        <f t="shared" si="0"/>
        <v>R037</v>
      </c>
      <c r="D38" t="str">
        <f>IF(COUNTIF('Risk Register'!B:B, C38)&gt;0, "Used", "NotUsed")</f>
        <v>NotUsed</v>
      </c>
      <c r="E38" t="s">
        <v>2103</v>
      </c>
      <c r="F38" t="str">
        <f>IF(COUNTIF('ISMS Action Tracker'!B:B, E38)&gt;0, "Used", "Not Used")</f>
        <v>Not Used</v>
      </c>
    </row>
    <row r="39" spans="1:6">
      <c r="A39" s="3">
        <v>38</v>
      </c>
      <c r="B39" s="3" t="str">
        <f t="shared" si="1"/>
        <v>038</v>
      </c>
      <c r="C39" t="str">
        <f t="shared" si="0"/>
        <v>R038</v>
      </c>
      <c r="D39" t="str">
        <f>IF(COUNTIF('Risk Register'!B:B, C39)&gt;0, "Used", "NotUsed")</f>
        <v>NotUsed</v>
      </c>
      <c r="E39" t="s">
        <v>2104</v>
      </c>
      <c r="F39" t="str">
        <f>IF(COUNTIF('ISMS Action Tracker'!B:B, E39)&gt;0, "Used", "Not Used")</f>
        <v>Not Used</v>
      </c>
    </row>
    <row r="40" spans="1:6">
      <c r="A40" s="3">
        <v>39</v>
      </c>
      <c r="B40" s="3" t="str">
        <f t="shared" si="1"/>
        <v>039</v>
      </c>
      <c r="C40" t="str">
        <f t="shared" si="0"/>
        <v>R039</v>
      </c>
      <c r="D40" t="str">
        <f>IF(COUNTIF('Risk Register'!B:B, C40)&gt;0, "Used", "NotUsed")</f>
        <v>NotUsed</v>
      </c>
      <c r="E40" t="s">
        <v>2105</v>
      </c>
      <c r="F40" t="str">
        <f>IF(COUNTIF('ISMS Action Tracker'!B:B, E40)&gt;0, "Used", "Not Used")</f>
        <v>Not Used</v>
      </c>
    </row>
    <row r="41" spans="1:6">
      <c r="A41" s="3">
        <v>40</v>
      </c>
      <c r="B41" s="3" t="str">
        <f t="shared" si="1"/>
        <v>040</v>
      </c>
      <c r="C41" t="str">
        <f t="shared" si="0"/>
        <v>R040</v>
      </c>
      <c r="D41" t="str">
        <f>IF(COUNTIF('Risk Register'!B:B, C41)&gt;0, "Used", "NotUsed")</f>
        <v>NotUsed</v>
      </c>
      <c r="E41" t="s">
        <v>2106</v>
      </c>
      <c r="F41" t="str">
        <f>IF(COUNTIF('ISMS Action Tracker'!B:B, E41)&gt;0, "Used", "Not Used")</f>
        <v>Not Used</v>
      </c>
    </row>
    <row r="42" spans="1:6">
      <c r="A42" s="3">
        <v>41</v>
      </c>
      <c r="B42" s="3" t="str">
        <f t="shared" si="1"/>
        <v>041</v>
      </c>
      <c r="C42" t="str">
        <f t="shared" si="0"/>
        <v>R041</v>
      </c>
      <c r="D42" t="str">
        <f>IF(COUNTIF('Risk Register'!B:B, C42)&gt;0, "Used", "NotUsed")</f>
        <v>NotUsed</v>
      </c>
      <c r="E42" t="s">
        <v>2107</v>
      </c>
      <c r="F42" t="str">
        <f>IF(COUNTIF('ISMS Action Tracker'!B:B, E42)&gt;0, "Used", "Not Used")</f>
        <v>Not Used</v>
      </c>
    </row>
    <row r="43" spans="1:6">
      <c r="A43" s="3">
        <v>42</v>
      </c>
      <c r="B43" s="3" t="str">
        <f t="shared" si="1"/>
        <v>042</v>
      </c>
      <c r="C43" t="str">
        <f t="shared" si="0"/>
        <v>R042</v>
      </c>
      <c r="D43" t="str">
        <f>IF(COUNTIF('Risk Register'!B:B, C43)&gt;0, "Used", "NotUsed")</f>
        <v>NotUsed</v>
      </c>
      <c r="E43" t="s">
        <v>2108</v>
      </c>
      <c r="F43" t="str">
        <f>IF(COUNTIF('ISMS Action Tracker'!B:B, E43)&gt;0, "Used", "Not Used")</f>
        <v>Not Used</v>
      </c>
    </row>
    <row r="44" spans="1:6">
      <c r="A44" s="3">
        <v>43</v>
      </c>
      <c r="B44" s="3" t="str">
        <f t="shared" si="1"/>
        <v>043</v>
      </c>
      <c r="C44" t="str">
        <f t="shared" si="0"/>
        <v>R043</v>
      </c>
      <c r="D44" t="str">
        <f>IF(COUNTIF('Risk Register'!B:B, C44)&gt;0, "Used", "NotUsed")</f>
        <v>NotUsed</v>
      </c>
      <c r="E44" t="s">
        <v>2109</v>
      </c>
      <c r="F44" t="str">
        <f>IF(COUNTIF('ISMS Action Tracker'!B:B, E44)&gt;0, "Used", "Not Used")</f>
        <v>Not Used</v>
      </c>
    </row>
    <row r="45" spans="1:6">
      <c r="A45" s="3">
        <v>44</v>
      </c>
      <c r="B45" s="3" t="str">
        <f t="shared" si="1"/>
        <v>044</v>
      </c>
      <c r="C45" t="str">
        <f t="shared" si="0"/>
        <v>R044</v>
      </c>
      <c r="D45" t="str">
        <f>IF(COUNTIF('Risk Register'!B:B, C45)&gt;0, "Used", "NotUsed")</f>
        <v>NotUsed</v>
      </c>
      <c r="E45" t="s">
        <v>2110</v>
      </c>
      <c r="F45" t="str">
        <f>IF(COUNTIF('ISMS Action Tracker'!B:B, E45)&gt;0, "Used", "Not Used")</f>
        <v>Not Used</v>
      </c>
    </row>
    <row r="46" spans="1:6">
      <c r="A46" s="3">
        <v>45</v>
      </c>
      <c r="B46" s="3" t="str">
        <f t="shared" si="1"/>
        <v>045</v>
      </c>
      <c r="C46" t="str">
        <f t="shared" si="0"/>
        <v>R045</v>
      </c>
      <c r="D46" t="str">
        <f>IF(COUNTIF('Risk Register'!B:B, C46)&gt;0, "Used", "NotUsed")</f>
        <v>NotUsed</v>
      </c>
      <c r="E46" t="s">
        <v>2111</v>
      </c>
      <c r="F46" t="str">
        <f>IF(COUNTIF('ISMS Action Tracker'!B:B, E46)&gt;0, "Used", "Not Used")</f>
        <v>Not Used</v>
      </c>
    </row>
    <row r="47" spans="1:6">
      <c r="A47" s="3">
        <v>46</v>
      </c>
      <c r="B47" s="3" t="str">
        <f t="shared" si="1"/>
        <v>046</v>
      </c>
      <c r="C47" t="str">
        <f t="shared" si="0"/>
        <v>R046</v>
      </c>
      <c r="D47" t="str">
        <f>IF(COUNTIF('Risk Register'!B:B, C47)&gt;0, "Used", "NotUsed")</f>
        <v>NotUsed</v>
      </c>
      <c r="E47" t="s">
        <v>2112</v>
      </c>
      <c r="F47" t="str">
        <f>IF(COUNTIF('ISMS Action Tracker'!B:B, E47)&gt;0, "Used", "Not Used")</f>
        <v>Not Used</v>
      </c>
    </row>
    <row r="48" spans="1:6">
      <c r="A48" s="3">
        <v>47</v>
      </c>
      <c r="B48" s="3" t="str">
        <f t="shared" si="1"/>
        <v>047</v>
      </c>
      <c r="C48" t="str">
        <f t="shared" si="0"/>
        <v>R047</v>
      </c>
      <c r="D48" t="str">
        <f>IF(COUNTIF('Risk Register'!B:B, C48)&gt;0, "Used", "NotUsed")</f>
        <v>NotUsed</v>
      </c>
      <c r="E48" t="s">
        <v>2113</v>
      </c>
      <c r="F48" t="str">
        <f>IF(COUNTIF('ISMS Action Tracker'!B:B, E48)&gt;0, "Used", "Not Used")</f>
        <v>Not Used</v>
      </c>
    </row>
    <row r="49" spans="1:6">
      <c r="A49" s="3">
        <v>48</v>
      </c>
      <c r="B49" s="3" t="str">
        <f t="shared" si="1"/>
        <v>048</v>
      </c>
      <c r="C49" t="str">
        <f t="shared" si="0"/>
        <v>R048</v>
      </c>
      <c r="D49" t="str">
        <f>IF(COUNTIF('Risk Register'!B:B, C49)&gt;0, "Used", "NotUsed")</f>
        <v>NotUsed</v>
      </c>
      <c r="E49" t="s">
        <v>2114</v>
      </c>
      <c r="F49" t="str">
        <f>IF(COUNTIF('ISMS Action Tracker'!B:B, E49)&gt;0, "Used", "Not Used")</f>
        <v>Not Used</v>
      </c>
    </row>
    <row r="50" spans="1:6">
      <c r="A50" s="3">
        <v>49</v>
      </c>
      <c r="B50" s="3" t="str">
        <f t="shared" si="1"/>
        <v>049</v>
      </c>
      <c r="C50" t="str">
        <f t="shared" si="0"/>
        <v>R049</v>
      </c>
      <c r="D50" t="str">
        <f>IF(COUNTIF('Risk Register'!B:B, C50)&gt;0, "Used", "NotUsed")</f>
        <v>NotUsed</v>
      </c>
      <c r="E50" t="s">
        <v>2115</v>
      </c>
      <c r="F50" t="str">
        <f>IF(COUNTIF('ISMS Action Tracker'!B:B, E50)&gt;0, "Used", "Not Used")</f>
        <v>Not Used</v>
      </c>
    </row>
    <row r="51" spans="1:6">
      <c r="A51" s="3">
        <v>50</v>
      </c>
      <c r="B51" s="3" t="str">
        <f t="shared" si="1"/>
        <v>050</v>
      </c>
      <c r="C51" t="str">
        <f t="shared" si="0"/>
        <v>R050</v>
      </c>
      <c r="D51" t="str">
        <f>IF(COUNTIF('Risk Register'!B:B, C51)&gt;0, "Used", "NotUsed")</f>
        <v>NotUsed</v>
      </c>
      <c r="E51" t="s">
        <v>2116</v>
      </c>
      <c r="F51" t="str">
        <f>IF(COUNTIF('ISMS Action Tracker'!B:B, E51)&gt;0, "Used", "Not Used")</f>
        <v>Not Used</v>
      </c>
    </row>
    <row r="52" spans="1:6">
      <c r="A52" s="3">
        <v>51</v>
      </c>
      <c r="B52" s="3" t="str">
        <f t="shared" si="1"/>
        <v>051</v>
      </c>
      <c r="C52" t="str">
        <f t="shared" si="0"/>
        <v>R051</v>
      </c>
      <c r="D52" t="str">
        <f>IF(COUNTIF('Risk Register'!B:B, C52)&gt;0, "Used", "NotUsed")</f>
        <v>NotUsed</v>
      </c>
      <c r="E52" t="s">
        <v>2117</v>
      </c>
      <c r="F52" t="str">
        <f>IF(COUNTIF('ISMS Action Tracker'!B:B, E52)&gt;0, "Used", "Not Used")</f>
        <v>Not Used</v>
      </c>
    </row>
    <row r="53" spans="1:6">
      <c r="A53" s="3">
        <v>52</v>
      </c>
      <c r="B53" s="3" t="str">
        <f t="shared" si="1"/>
        <v>052</v>
      </c>
      <c r="C53" t="str">
        <f t="shared" si="0"/>
        <v>R052</v>
      </c>
      <c r="D53" t="str">
        <f>IF(COUNTIF('Risk Register'!B:B, C53)&gt;0, "Used", "NotUsed")</f>
        <v>NotUsed</v>
      </c>
      <c r="E53" t="s">
        <v>2118</v>
      </c>
      <c r="F53" t="str">
        <f>IF(COUNTIF('ISMS Action Tracker'!B:B, E53)&gt;0, "Used", "Not Used")</f>
        <v>Not Used</v>
      </c>
    </row>
    <row r="54" spans="1:6">
      <c r="A54" s="3">
        <v>53</v>
      </c>
      <c r="B54" s="3" t="str">
        <f t="shared" si="1"/>
        <v>053</v>
      </c>
      <c r="C54" t="str">
        <f t="shared" si="0"/>
        <v>R053</v>
      </c>
      <c r="D54" t="str">
        <f>IF(COUNTIF('Risk Register'!B:B, C54)&gt;0, "Used", "NotUsed")</f>
        <v>NotUsed</v>
      </c>
      <c r="E54" t="s">
        <v>2119</v>
      </c>
      <c r="F54" t="str">
        <f>IF(COUNTIF('ISMS Action Tracker'!B:B, E54)&gt;0, "Used", "Not Used")</f>
        <v>Not Used</v>
      </c>
    </row>
    <row r="55" spans="1:6">
      <c r="A55" s="3">
        <v>54</v>
      </c>
      <c r="B55" s="3" t="str">
        <f t="shared" si="1"/>
        <v>054</v>
      </c>
      <c r="C55" t="str">
        <f t="shared" si="0"/>
        <v>R054</v>
      </c>
      <c r="D55" t="str">
        <f>IF(COUNTIF('Risk Register'!B:B, C55)&gt;0, "Used", "NotUsed")</f>
        <v>NotUsed</v>
      </c>
      <c r="E55" t="s">
        <v>2120</v>
      </c>
      <c r="F55" t="str">
        <f>IF(COUNTIF('ISMS Action Tracker'!B:B, E55)&gt;0, "Used", "Not Used")</f>
        <v>Not Used</v>
      </c>
    </row>
    <row r="56" spans="1:6">
      <c r="A56" s="3">
        <v>55</v>
      </c>
      <c r="B56" s="3" t="str">
        <f t="shared" si="1"/>
        <v>055</v>
      </c>
      <c r="C56" t="str">
        <f t="shared" si="0"/>
        <v>R055</v>
      </c>
      <c r="D56" t="str">
        <f>IF(COUNTIF('Risk Register'!B:B, C56)&gt;0, "Used", "NotUsed")</f>
        <v>NotUsed</v>
      </c>
      <c r="E56" t="s">
        <v>2121</v>
      </c>
      <c r="F56" t="str">
        <f>IF(COUNTIF('ISMS Action Tracker'!B:B, E56)&gt;0, "Used", "Not Used")</f>
        <v>Not Used</v>
      </c>
    </row>
    <row r="57" spans="1:6">
      <c r="A57" s="3">
        <v>56</v>
      </c>
      <c r="B57" s="3" t="str">
        <f t="shared" si="1"/>
        <v>056</v>
      </c>
      <c r="C57" t="str">
        <f t="shared" si="0"/>
        <v>R056</v>
      </c>
      <c r="D57" t="str">
        <f>IF(COUNTIF('Risk Register'!B:B, C57)&gt;0, "Used", "NotUsed")</f>
        <v>NotUsed</v>
      </c>
      <c r="E57" t="s">
        <v>2122</v>
      </c>
      <c r="F57" t="str">
        <f>IF(COUNTIF('ISMS Action Tracker'!B:B, E57)&gt;0, "Used", "Not Used")</f>
        <v>Not Used</v>
      </c>
    </row>
    <row r="58" spans="1:6">
      <c r="A58" s="3">
        <v>57</v>
      </c>
      <c r="B58" s="3" t="str">
        <f t="shared" si="1"/>
        <v>057</v>
      </c>
      <c r="C58" t="str">
        <f t="shared" si="0"/>
        <v>R057</v>
      </c>
      <c r="D58" t="str">
        <f>IF(COUNTIF('Risk Register'!B:B, C58)&gt;0, "Used", "NotUsed")</f>
        <v>NotUsed</v>
      </c>
      <c r="E58" t="s">
        <v>2123</v>
      </c>
      <c r="F58" t="str">
        <f>IF(COUNTIF('ISMS Action Tracker'!B:B, E58)&gt;0, "Used", "Not Used")</f>
        <v>Not Used</v>
      </c>
    </row>
    <row r="59" spans="1:6">
      <c r="A59" s="3">
        <v>58</v>
      </c>
      <c r="B59" s="3" t="str">
        <f t="shared" si="1"/>
        <v>058</v>
      </c>
      <c r="C59" t="str">
        <f t="shared" si="0"/>
        <v>R058</v>
      </c>
      <c r="D59" t="str">
        <f>IF(COUNTIF('Risk Register'!B:B, C59)&gt;0, "Used", "NotUsed")</f>
        <v>NotUsed</v>
      </c>
      <c r="E59" t="s">
        <v>2124</v>
      </c>
      <c r="F59" t="str">
        <f>IF(COUNTIF('ISMS Action Tracker'!B:B, E59)&gt;0, "Used", "Not Used")</f>
        <v>Not Used</v>
      </c>
    </row>
    <row r="60" spans="1:6">
      <c r="A60" s="3">
        <v>59</v>
      </c>
      <c r="B60" s="3" t="str">
        <f t="shared" si="1"/>
        <v>059</v>
      </c>
      <c r="C60" t="str">
        <f t="shared" si="0"/>
        <v>R059</v>
      </c>
      <c r="D60" t="str">
        <f>IF(COUNTIF('Risk Register'!B:B, C60)&gt;0, "Used", "NotUsed")</f>
        <v>NotUsed</v>
      </c>
      <c r="E60" t="s">
        <v>2125</v>
      </c>
      <c r="F60" t="str">
        <f>IF(COUNTIF('ISMS Action Tracker'!B:B, E60)&gt;0, "Used", "Not Used")</f>
        <v>Not Used</v>
      </c>
    </row>
    <row r="61" spans="1:6">
      <c r="A61" s="3">
        <v>60</v>
      </c>
      <c r="B61" s="3" t="str">
        <f t="shared" si="1"/>
        <v>060</v>
      </c>
      <c r="C61" t="str">
        <f t="shared" si="0"/>
        <v>R060</v>
      </c>
      <c r="D61" t="str">
        <f>IF(COUNTIF('Risk Register'!B:B, C61)&gt;0, "Used", "NotUsed")</f>
        <v>NotUsed</v>
      </c>
      <c r="E61" t="s">
        <v>2126</v>
      </c>
      <c r="F61" t="str">
        <f>IF(COUNTIF('ISMS Action Tracker'!B:B, E61)&gt;0, "Used", "Not Used")</f>
        <v>Not Used</v>
      </c>
    </row>
    <row r="62" spans="1:6">
      <c r="E62" t="s">
        <v>2127</v>
      </c>
      <c r="F62" t="str">
        <f>IF(COUNTIF('ISMS Action Tracker'!B:B, E62)&gt;0, "Used", "Not Used")</f>
        <v>Not Used</v>
      </c>
    </row>
  </sheetData>
  <phoneticPr fontId="5"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1C543902A185A4BB3B07FF0C07708BF" ma:contentTypeVersion="13" ma:contentTypeDescription="Create a new document." ma:contentTypeScope="" ma:versionID="5b010070470b06a3eddeee03d91cbe0f">
  <xsd:schema xmlns:xsd="http://www.w3.org/2001/XMLSchema" xmlns:xs="http://www.w3.org/2001/XMLSchema" xmlns:p="http://schemas.microsoft.com/office/2006/metadata/properties" xmlns:ns2="4bbe4d5d-5b05-4411-a261-7c99c5d76bc5" xmlns:ns3="c5655ae6-a3cf-478a-8460-c3c6dc877190" targetNamespace="http://schemas.microsoft.com/office/2006/metadata/properties" ma:root="true" ma:fieldsID="a20c49d1c334ee23d461db9ad5eb5580" ns2:_="" ns3:_="">
    <xsd:import namespace="4bbe4d5d-5b05-4411-a261-7c99c5d76bc5"/>
    <xsd:import namespace="c5655ae6-a3cf-478a-8460-c3c6dc87719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SensitivityClassifi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be4d5d-5b05-4411-a261-7c99c5d76b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ebd0c12-1418-4220-a51c-fbcb76e4a57a"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SensitivityClassification" ma:index="20" nillable="true" ma:displayName="Sensitivity Classification" ma:default="Internal Use Only" ma:description="Sensitivity Classification" ma:format="Dropdown" ma:internalName="SensitivityClassification">
      <xsd:simpleType>
        <xsd:union memberTypes="dms:Text">
          <xsd:simpleType>
            <xsd:restriction base="dms:Choice">
              <xsd:enumeration value="Public"/>
              <xsd:enumeration value="Internal Use Only"/>
              <xsd:enumeration value="Confidential"/>
              <xsd:enumeration value="Restrict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c5655ae6-a3cf-478a-8460-c3c6dc877190"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3903ab69-393c-4e39-8d26-1978abdae5b6}" ma:internalName="TaxCatchAll" ma:showField="CatchAllData" ma:web="c5655ae6-a3cf-478a-8460-c3c6dc87719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bbe4d5d-5b05-4411-a261-7c99c5d76bc5">
      <Terms xmlns="http://schemas.microsoft.com/office/infopath/2007/PartnerControls"/>
    </lcf76f155ced4ddcb4097134ff3c332f>
    <TaxCatchAll xmlns="c5655ae6-a3cf-478a-8460-c3c6dc877190" xsi:nil="true"/>
    <SensitivityClassification xmlns="4bbe4d5d-5b05-4411-a261-7c99c5d76bc5">Internal Use Only</SensitivityClassification>
  </documentManagement>
</p:properties>
</file>

<file path=customXml/itemProps1.xml><?xml version="1.0" encoding="utf-8"?>
<ds:datastoreItem xmlns:ds="http://schemas.openxmlformats.org/officeDocument/2006/customXml" ds:itemID="{F571C798-1D53-4C78-AA15-D2CF6A9865A8}"/>
</file>

<file path=customXml/itemProps2.xml><?xml version="1.0" encoding="utf-8"?>
<ds:datastoreItem xmlns:ds="http://schemas.openxmlformats.org/officeDocument/2006/customXml" ds:itemID="{2D74EE20-7A94-4DC4-85DF-78AB85E17665}"/>
</file>

<file path=customXml/itemProps3.xml><?xml version="1.0" encoding="utf-8"?>
<ds:datastoreItem xmlns:ds="http://schemas.openxmlformats.org/officeDocument/2006/customXml" ds:itemID="{679F5C39-9064-4208-A878-B5EE816CDEF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Zorko Petrusa</cp:lastModifiedBy>
  <cp:revision/>
  <dcterms:created xsi:type="dcterms:W3CDTF">2024-12-17T13:36:59Z</dcterms:created>
  <dcterms:modified xsi:type="dcterms:W3CDTF">2026-04-28T20:46:15Z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0x01010011C543902A185A4BB3B07FF0C07708BF</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